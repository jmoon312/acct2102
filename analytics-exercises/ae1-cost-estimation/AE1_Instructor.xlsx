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ata" sheetId="2" state="visible" r:id="rId4"/>
    <sheet name="Step 1" sheetId="3" state="visible" r:id="rId5"/>
    <sheet name="Step 2" sheetId="4" state="visible" r:id="rId6"/>
    <sheet name="Step 3" sheetId="5" state="visible" r:id="rId7"/>
    <sheet name="Step 4" sheetId="6" state="visible" r:id="rId8"/>
    <sheet name="Answer Sheet" sheetId="7" state="visible" r:id="rId9"/>
    <sheet name="ANSWER KEY" sheetId="8" state="visible" r:id="rId10"/>
    <sheet name="Grading"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<sst xmlns="http://schemas.openxmlformats.org/spreadsheetml/2006/main" count="263" uniqueCount="182">
  <si>
    <t xml:space="preserve">ACCT 2102 — Analytics Exercise 1: Cost Estimation</t>
  </si>
  <si>
    <t xml:space="preserve">Pearson Specialty Foods, Inc.</t>
  </si>
  <si>
    <t xml:space="preserve">Setting</t>
  </si>
  <si>
    <t xml:space="preserve">You are a financial analyst at Pearson Specialty Foods, a contract food manufacturer that produces packaged snacks for grocery and CPG clients. Allergen controls require a full sanitation between every product run. The operations team has provided 24 months of historical data, and your manager wants you to build a model of monthly indirect labor cost so it can be predicted for next year's budget — and used to evaluate a possible plant expansion.</t>
  </si>
  <si>
    <t xml:space="preserve">How to work this exercise</t>
  </si>
  <si>
    <t xml:space="preserve">Work through the four Step tabs in order, using the data on the Data tab. Each Step tab includes a short prompt, a scaffold for your work, and labeled cells (highlighted yellow) where your final answers should land. When you're finished, complete the Answer Sheet tab — each answer there should be a formula linking back to a cell on a Step tab (e.g., ='Step 2'!E12). Do not retype values into the Answer Sheet — link to your work.</t>
  </si>
  <si>
    <t xml:space="preserve">Step 1 — Identify the cost driver</t>
  </si>
  <si>
    <t xml:space="preserve">The data dump contains five candidate cost drivers. For each, build a scatter plot against indirect labor cost and compute the correlation coefficient. Decide which driver best explains the cost — defend your choice using (a) the visual fit of the scatter plot, (b) the correlation, and (c) whether the relationship makes economic sense for this kind of business.</t>
  </si>
  <si>
    <t xml:space="preserve">Step 2 — Estimate the cost function</t>
  </si>
  <si>
    <t xml:space="preserve">Using your chosen driver from Step 1, estimate a linear cost function Y = a + bX with regression. Report the fixed cost, variable cost, and R². Then estimate the same cost function with the high-low method. Compare and discuss why the two methods can give different answers.</t>
  </si>
  <si>
    <t xml:space="preserve">Step 3 — Predict costs</t>
  </si>
  <si>
    <t xml:space="preserve">Use your Step 2 regression cost function to predict indirect labor at three batch volumes: 75, 175, and 250. For each, comment on whether the prediction is reliable given the historical relevant range.</t>
  </si>
  <si>
    <t xml:space="preserve">Step 4 — Plant expansion scenario</t>
  </si>
  <si>
    <t xml:space="preserve">Pearson is considering a plant expansion: monthly fixed indirect labor would rise by 20% (more supervisors, more facility overhead) and variable indirect labor would fall by 10% (better automation reduces per-batch sanitation labor). The new relevant range would be 125 to 300 batches per month. Plot the current and expanded cost functions on the same chart. Solve for the indifference batch volume Q*. Then make a recommendation: if next year's forecast is 240 batches/month, should Pearson expand?</t>
  </si>
  <si>
    <t xml:space="preserve">A note on Excel tools</t>
  </si>
  <si>
    <t xml:space="preserve">You will need: scatter plots (Insert → Chart → Scatter), CORREL or PEARSON for correlations, SLOPE / INTERCEPT / RSQ for regression (or the Data Analysis ToolPak's Regression tool), and MAX / MIN / INDEX / MATCH for the high-low method. Step 4 also asks you to plot two cost functions on one chart — the Step 4 tab walks you through how.</t>
  </si>
  <si>
    <t xml:space="preserve">Submission</t>
  </si>
  <si>
    <t xml:space="preserve">Submit this workbook with the Answer Sheet tab completed. Grading reads only that tab, so every numeric answer must be a formula reference to a cell in your Step tab work.</t>
  </si>
  <si>
    <t xml:space="preserve">Pearson Specialty Foods — Operating Data Dump (24 months)</t>
  </si>
  <si>
    <t xml:space="preserve">Source: Operations Data Warehouse, January 2024 – December 2025</t>
  </si>
  <si>
    <t xml:space="preserve">Month</t>
  </si>
  <si>
    <t xml:space="preserve">Batches</t>
  </si>
  <si>
    <t xml:space="preserve">Units (cases)</t>
  </si>
  <si>
    <t xml:space="preserve">Machine Hours</t>
  </si>
  <si>
    <t xml:space="preserve">Direct Labor Hours</t>
  </si>
  <si>
    <t xml:space="preserve">Raw Material (lbs)</t>
  </si>
  <si>
    <t xml:space="preserve">Indirect Labor Cost</t>
  </si>
  <si>
    <t xml:space="preserve">Jan-2024</t>
  </si>
  <si>
    <t xml:space="preserve">Feb-2024</t>
  </si>
  <si>
    <t xml:space="preserve">Mar-2024</t>
  </si>
  <si>
    <t xml:space="preserve">Apr-2024</t>
  </si>
  <si>
    <t xml:space="preserve">May-2024</t>
  </si>
  <si>
    <t xml:space="preserve">Jun-2024</t>
  </si>
  <si>
    <t xml:space="preserve">Jul-2024</t>
  </si>
  <si>
    <t xml:space="preserve">Aug-2024</t>
  </si>
  <si>
    <t xml:space="preserve">Sep-2024</t>
  </si>
  <si>
    <t xml:space="preserve">Oct-2024</t>
  </si>
  <si>
    <t xml:space="preserve">Nov-2024</t>
  </si>
  <si>
    <t xml:space="preserve">Dec-2024</t>
  </si>
  <si>
    <t xml:space="preserve">Jan-2025</t>
  </si>
  <si>
    <t xml:space="preserve">Feb-2025</t>
  </si>
  <si>
    <t xml:space="preserve">Mar-2025</t>
  </si>
  <si>
    <t xml:space="preserve">Apr-2025</t>
  </si>
  <si>
    <t xml:space="preserve">May-2025</t>
  </si>
  <si>
    <t xml:space="preserve">Jun-2025</t>
  </si>
  <si>
    <t xml:space="preserve">Jul-2025</t>
  </si>
  <si>
    <t xml:space="preserve">Aug-2025</t>
  </si>
  <si>
    <t xml:space="preserve">Sep-2025</t>
  </si>
  <si>
    <t xml:space="preserve">Oct-2025</t>
  </si>
  <si>
    <t xml:space="preserve">Nov-2025</t>
  </si>
  <si>
    <t xml:space="preserve">Dec-2025</t>
  </si>
  <si>
    <t xml:space="preserve">Tip: When building scatter plots and regressions on other tabs, reference cells on this tab. For example, the batches column is 'Data'!B4:B27 and the indirect labor cost column is 'Data'!G4:G27.</t>
  </si>
  <si>
    <t xml:space="preserve">Step 1 — Identify the Cost Driver</t>
  </si>
  <si>
    <t xml:space="preserve">Build a scatter plot for each candidate driver against indirect labor cost. Compute the correlation coefficient between each driver and the cost. Then make your call: which driver best explains the variation in indirect labor cost?</t>
  </si>
  <si>
    <t xml:space="preserve">1A — Correlation table</t>
  </si>
  <si>
    <t xml:space="preserve">Candidate cost driver</t>
  </si>
  <si>
    <t xml:space="preserve">Correlation (r) with IL</t>
  </si>
  <si>
    <t xml:space="preserve">R²</t>
  </si>
  <si>
    <t xml:space="preserve">Use =CORREL(driver_range, IL_range). For R² use =RSQ(IL_range, driver_range), or simply square the correlation. The IL range is Data!G4:G27.</t>
  </si>
  <si>
    <t xml:space="preserve">1B — Scatter plots</t>
  </si>
  <si>
    <t xml:space="preserve">Insert one scatter plot for each candidate driver (X = driver, Y = indirect labor cost). Place them anywhere on this tab. Use Insert → Chart → Scatter, then drag your data ranges from the Data tab. Add chart titles and axis labels.</t>
  </si>
  <si>
    <t xml:space="preserve">[ Insert scatter plot here:
   X = Batches
   Y = Indirect Labor Cost ]</t>
  </si>
  <si>
    <t xml:space="preserve">[ Insert scatter plot here:
   X = Units (cases)
   Y = Indirect Labor Cost ]</t>
  </si>
  <si>
    <t xml:space="preserve">[ Insert scatter plot here:
   X = Machine Hours
   Y = Indirect Labor Cost ]</t>
  </si>
  <si>
    <t xml:space="preserve">[ Insert scatter plot here:
   X = Direct Labor Hours
   Y = Indirect Labor Cost ]</t>
  </si>
  <si>
    <t xml:space="preserve">[ Insert scatter plot here:
   X = Raw Material (lbs)
   Y = Indirect Labor Cost ]</t>
  </si>
  <si>
    <t xml:space="preserve">1C — Your decision</t>
  </si>
  <si>
    <t xml:space="preserve">Best cost driver:</t>
  </si>
  <si>
    <t xml:space="preserve">Defend your choice in 1–2 sentences (visual fit, correlation, economic logic):</t>
  </si>
  <si>
    <t xml:space="preserve">Step 2 — Estimate the Cost Function</t>
  </si>
  <si>
    <t xml:space="preserve">Using the cost driver you selected in Step 1, estimate a linear cost function Y = a + bX two ways: with simple regression (SLOPE / INTERCEPT / RSQ), and with the high-low method. Then compare them.</t>
  </si>
  <si>
    <t xml:space="preserve">2A — Simple regression</t>
  </si>
  <si>
    <t xml:space="preserve">Driver range (X):</t>
  </si>
  <si>
    <t xml:space="preserve">(e.g., Data!B4:B27)</t>
  </si>
  <si>
    <t xml:space="preserve">IL range (Y):</t>
  </si>
  <si>
    <t xml:space="preserve">Data!G4:G27</t>
  </si>
  <si>
    <t xml:space="preserve">(this is fixed — IL is always Y)</t>
  </si>
  <si>
    <t xml:space="preserve">Estimated variable cost (slope, b):</t>
  </si>
  <si>
    <t xml:space="preserve">Estimated fixed cost (intercept, a):</t>
  </si>
  <si>
    <t xml:space="preserve">R² (coefficient of determination):</t>
  </si>
  <si>
    <t xml:space="preserve">Cost equation in plain English:</t>
  </si>
  <si>
    <t xml:space="preserve">Indirect Labor = $______ + $______ × ______</t>
  </si>
  <si>
    <t xml:space="preserve">Hints: =SLOPE(Y, X) gives b; =INTERCEPT(Y, X) gives a; =RSQ(Y, X) gives R². Or run Data → Data Analysis → Regression for the full output.</t>
  </si>
  <si>
    <t xml:space="preserve">2B — High-low method</t>
  </si>
  <si>
    <t xml:space="preserve">Identify the months with the highest and lowest values of your chosen driver. Use those two points to estimate variable cost and fixed cost.</t>
  </si>
  <si>
    <t xml:space="preserve">Driver value (X)</t>
  </si>
  <si>
    <t xml:space="preserve">IL value (Y)</t>
  </si>
  <si>
    <t xml:space="preserve">High month:</t>
  </si>
  <si>
    <t xml:space="preserve">Low month:</t>
  </si>
  <si>
    <t xml:space="preserve">High-low variable cost (b):</t>
  </si>
  <si>
    <t xml:space="preserve">High-low fixed cost (a):</t>
  </si>
  <si>
    <t xml:space="preserve">Hints: For the high/low values, =MAX(driver_range) and =MIN(driver_range) get the X values; pair with =INDEX(Data!G4:G27, MATCH(MAX(driver), driver_range, 0)) to pull the matching IL value. Then b = ΔY / ΔX, and a = Y − b·X at either anchor.</t>
  </si>
  <si>
    <t xml:space="preserve">2C — Compare the two methods</t>
  </si>
  <si>
    <t xml:space="preserve">Why might regression and the high-low method give different answers? (2–3 sentences. Hint: look closely at the November 2024 row in the data — what's going on with that month?)</t>
  </si>
  <si>
    <t xml:space="preserve">Step 3 — Predict Costs</t>
  </si>
  <si>
    <t xml:space="preserve">Use your regression cost function from Step 2A to predict indirect labor cost at three batch volumes: 75, 175, and 250. Reference the slope and intercept cells from Step 2 rather than retyping the numbers.</t>
  </si>
  <si>
    <t xml:space="preserve">3A — Predicted indirect labor cost</t>
  </si>
  <si>
    <t xml:space="preserve">Batches (X)</t>
  </si>
  <si>
    <t xml:space="preserve">Predicted IL (Y)</t>
  </si>
  <si>
    <t xml:space="preserve">Hint: Predicted Y = intercept + slope × X. Reference your Step 2 cells, e.g., ='Step 2'!C9 + 'Step 2'!C8 × 75.</t>
  </si>
  <si>
    <t xml:space="preserve">3B — Reliability of the predictions</t>
  </si>
  <si>
    <t xml:space="preserve">The historical data on the Data tab spans batch volumes from roughly 35 to 190. Which of your three predictions are inside that range, and which require extrapolation? How confident should you be in each?</t>
  </si>
  <si>
    <t xml:space="preserve">Step 4 — Plant Expansion Scenario</t>
  </si>
  <si>
    <t xml:space="preserve">Pearson is considering an expansion. Under the expansion: monthly fixed indirect labor would rise by 20% (more supervisors, larger facility), and variable indirect labor would fall by 10% (better automation reduces per-batch sanitation labor). The new relevant range would be 125 to 300 batches per month.</t>
  </si>
  <si>
    <t xml:space="preserve">4A — New cost function under expansion</t>
  </si>
  <si>
    <t xml:space="preserve">New fixed cost (a' = 1.20 × Step 2 a):</t>
  </si>
  <si>
    <t xml:space="preserve">New variable cost (b' = 0.90 × Step 2 b):</t>
  </si>
  <si>
    <t xml:space="preserve">4B — Build the comparison chart</t>
  </si>
  <si>
    <t xml:space="preserve">Plot both cost functions (current and expanded) on the same scatter chart, with batches on the x-axis and indirect labor cost on the y-axis. Use the new relevant range (125 to 300) as your x-axis bounds. Steps:</t>
  </si>
  <si>
    <t xml:space="preserve">1. In the table below, fill the X column with batch values from 125 to 300 in steps of 25.</t>
  </si>
  <si>
    <t xml:space="preserve">2. Fill the 'Current cost' column using your Step 2A regression (= a + b × X).</t>
  </si>
  <si>
    <t xml:space="preserve">3. Fill the 'Expanded cost' column using your 4A new cost function (= a' + b' × X).</t>
  </si>
  <si>
    <t xml:space="preserve">4. Select all three columns including the headers; Insert → Chart → Scatter with Smooth Lines.</t>
  </si>
  <si>
    <t xml:space="preserve">5. Add a chart title ("Current vs. Expanded Cost Functions"), x-axis title ("Batches per month"), and y-axis title ("Indirect Labor Cost ($)"). The two lines should cross at Q*.</t>
  </si>
  <si>
    <t xml:space="preserve">Current cost</t>
  </si>
  <si>
    <t xml:space="preserve">Expanded cost</t>
  </si>
  <si>
    <t xml:space="preserve">4C — Indifference batch volume Q*</t>
  </si>
  <si>
    <t xml:space="preserve">Solve algebraically for Q*, the batch volume where current and expanded total costs are equal. Set the two cost functions equal to each other and solve for X:    a + bX = a' + b'X    ⟹    Q* = (a' − a) / (b − b')</t>
  </si>
  <si>
    <t xml:space="preserve">Indifference Q* (batches):</t>
  </si>
  <si>
    <t xml:space="preserve">Total cost at Q* (use either function — should match):</t>
  </si>
  <si>
    <t xml:space="preserve">4D — Recommendation at 240 batches/month</t>
  </si>
  <si>
    <t xml:space="preserve">If next year's forecast is 240 batches/month, which cost structure is cheaper and by how much?</t>
  </si>
  <si>
    <t xml:space="preserve">Current cost at 240 batches:</t>
  </si>
  <si>
    <t xml:space="preserve">Expanded cost at 240 batches:</t>
  </si>
  <si>
    <t xml:space="preserve">Cheaper at 240:</t>
  </si>
  <si>
    <t xml:space="preserve">In 1–3 sentences, what would you recommend Pearson do, and what additional information would you want before making a final call?</t>
  </si>
  <si>
    <t xml:space="preserve">Answer Sheet — link your final answers here</t>
  </si>
  <si>
    <t xml:space="preserve">Each cell in column D should be a FORMULA that links to the cell on a Step tab where your answer lives. Example: ='Step 2'!C8 (do not retype the value). Grading reads only this tab. Text answers (like the cost driver name in 1.1, or Current/Expanded in 4.5) should also be linked from the Step tab.</t>
  </si>
  <si>
    <t xml:space="preserve">#</t>
  </si>
  <si>
    <t xml:space="preserve">Question</t>
  </si>
  <si>
    <t xml:space="preserve">Your Answer (link)</t>
  </si>
  <si>
    <t xml:space="preserve">Points</t>
  </si>
  <si>
    <t xml:space="preserve">1.1</t>
  </si>
  <si>
    <t xml:space="preserve">Best cost driver (text)</t>
  </si>
  <si>
    <t xml:space="preserve">1.2</t>
  </si>
  <si>
    <t xml:space="preserve">Correlation (r) with best driver</t>
  </si>
  <si>
    <t xml:space="preserve">2.1</t>
  </si>
  <si>
    <t xml:space="preserve">Estimated variable cost b (slope)</t>
  </si>
  <si>
    <t xml:space="preserve">2.2</t>
  </si>
  <si>
    <t xml:space="preserve">Estimated fixed cost a (intercept)</t>
  </si>
  <si>
    <t xml:space="preserve">2.3</t>
  </si>
  <si>
    <t xml:space="preserve">R² of the regression</t>
  </si>
  <si>
    <t xml:space="preserve">2.4</t>
  </si>
  <si>
    <t xml:space="preserve">High-low variable cost</t>
  </si>
  <si>
    <t xml:space="preserve">2.5</t>
  </si>
  <si>
    <t xml:space="preserve">High-low fixed cost</t>
  </si>
  <si>
    <t xml:space="preserve">3.1</t>
  </si>
  <si>
    <t xml:space="preserve">Predicted IL at 75 batches</t>
  </si>
  <si>
    <t xml:space="preserve">3.2</t>
  </si>
  <si>
    <t xml:space="preserve">Predicted IL at 175 batches</t>
  </si>
  <si>
    <t xml:space="preserve">3.3</t>
  </si>
  <si>
    <t xml:space="preserve">Predicted IL at 250 batches</t>
  </si>
  <si>
    <t xml:space="preserve">4.1</t>
  </si>
  <si>
    <t xml:space="preserve">New fixed cost (post-expansion)</t>
  </si>
  <si>
    <t xml:space="preserve">4.2</t>
  </si>
  <si>
    <t xml:space="preserve">New variable cost (post-expansion)</t>
  </si>
  <si>
    <t xml:space="preserve">4.3</t>
  </si>
  <si>
    <t xml:space="preserve">Indifference Q* (batches)</t>
  </si>
  <si>
    <t xml:space="preserve">4.4</t>
  </si>
  <si>
    <t xml:space="preserve">Total cost at Q*</t>
  </si>
  <si>
    <t xml:space="preserve">4.5</t>
  </si>
  <si>
    <t xml:space="preserve">Cheaper at 240 (Current/Expanded)</t>
  </si>
  <si>
    <t xml:space="preserve">TOTAL POSSIBLE POINTS</t>
  </si>
  <si>
    <t xml:space="preserve">ANSWER KEY (instructor only)</t>
  </si>
  <si>
    <t xml:space="preserve">All values are computed via formulas off the Data tab. Edit the data and the key will recalculate automatically. Grading tolerance bands live on the Grading tab.</t>
  </si>
  <si>
    <t xml:space="preserve">Expected Answer</t>
  </si>
  <si>
    <t xml:space="preserve">Tolerance</t>
  </si>
  <si>
    <t xml:space="preserve">exact</t>
  </si>
  <si>
    <t xml:space="preserve">±0.005</t>
  </si>
  <si>
    <t xml:space="preserve">±$2.00</t>
  </si>
  <si>
    <t xml:space="preserve">±$300</t>
  </si>
  <si>
    <t xml:space="preserve">±2.0</t>
  </si>
  <si>
    <t xml:space="preserve">Expanded</t>
  </si>
  <si>
    <t xml:space="preserve">Grading — auto-checks Answer Sheet against expected</t>
  </si>
  <si>
    <t xml:space="preserve">Drop a student-completed workbook on top of this template (or import their Answer Sheet values) and this tab will score it automatically using tolerance bands from the ANSWER KEY tab.</t>
  </si>
  <si>
    <t xml:space="preserve">Expected</t>
  </si>
  <si>
    <t xml:space="preserve">Student</t>
  </si>
  <si>
    <t xml:space="preserve">Diff</t>
  </si>
  <si>
    <t xml:space="preserve">Pass?</t>
  </si>
  <si>
    <t xml:space="preserve">Pts</t>
  </si>
  <si>
    <t xml:space="preserve">TOTAL</t>
  </si>
  <si>
    <t xml:space="preserve">PERCENT</t>
  </si>
</sst>
</file>

<file path=xl/styles.xml><?xml version="1.0" encoding="utf-8"?>
<styleSheet xmlns="http://schemas.openxmlformats.org/spreadsheetml/2006/main">
  <numFmts count="9">
    <numFmt numFmtId="164" formatCode="General"/>
    <numFmt numFmtId="165" formatCode="#,##0"/>
    <numFmt numFmtId="166" formatCode="\$#,##0"/>
    <numFmt numFmtId="167" formatCode="0.0000"/>
    <numFmt numFmtId="168" formatCode="\$#,##0.0000"/>
    <numFmt numFmtId="169" formatCode="\$#,##0.00"/>
    <numFmt numFmtId="170" formatCode="#,##0.00"/>
    <numFmt numFmtId="171" formatCode="@"/>
    <numFmt numFmtId="172" formatCode="0.0%"/>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1A2744"/>
      <name val="Arial"/>
      <family val="0"/>
      <charset val="1"/>
    </font>
    <font>
      <sz val="11"/>
      <color rgb="FF000000"/>
      <name val="Arial"/>
      <family val="0"/>
      <charset val="1"/>
    </font>
    <font>
      <i val="true"/>
      <sz val="11"/>
      <color rgb="FF595959"/>
      <name val="Arial"/>
      <family val="0"/>
      <charset val="1"/>
    </font>
    <font>
      <b val="true"/>
      <sz val="11"/>
      <color rgb="FFFFFFFF"/>
      <name val="Arial"/>
      <family val="0"/>
      <charset val="1"/>
    </font>
    <font>
      <b val="true"/>
      <sz val="11"/>
      <color rgb="FF0000CC"/>
      <name val="Arial"/>
      <family val="0"/>
      <charset val="1"/>
    </font>
    <font>
      <b val="true"/>
      <sz val="11"/>
      <color rgb="FF000000"/>
      <name val="Arial"/>
      <family val="0"/>
      <charset val="1"/>
    </font>
    <font>
      <i val="true"/>
      <sz val="11"/>
      <color rgb="FF0000CC"/>
      <name val="Arial"/>
      <family val="0"/>
      <charset val="1"/>
    </font>
    <font>
      <b val="true"/>
      <sz val="11"/>
      <color rgb="FF006600"/>
      <name val="Arial"/>
      <family val="0"/>
      <charset val="1"/>
    </font>
    <font>
      <b val="true"/>
      <sz val="12"/>
      <color rgb="FF000000"/>
      <name val="Arial"/>
      <family val="0"/>
      <charset val="1"/>
    </font>
  </fonts>
  <fills count="7">
    <fill>
      <patternFill patternType="none"/>
    </fill>
    <fill>
      <patternFill patternType="gray125"/>
    </fill>
    <fill>
      <patternFill patternType="solid">
        <fgColor rgb="FF1A2744"/>
        <bgColor rgb="FF003366"/>
      </patternFill>
    </fill>
    <fill>
      <patternFill patternType="solid">
        <fgColor rgb="FFD85A30"/>
        <bgColor rgb="FFFF8080"/>
      </patternFill>
    </fill>
    <fill>
      <patternFill patternType="solid">
        <fgColor rgb="FFF4F0E8"/>
        <bgColor rgb="FFE8ECF2"/>
      </patternFill>
    </fill>
    <fill>
      <patternFill patternType="solid">
        <fgColor rgb="FFFFF2CC"/>
        <bgColor rgb="FFF4F0E8"/>
      </patternFill>
    </fill>
    <fill>
      <patternFill patternType="solid">
        <fgColor rgb="FFE8ECF2"/>
        <bgColor rgb="FFF4F0E8"/>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4" fillId="3" borderId="0" xfId="0" applyFont="true" applyBorder="true" applyAlignment="true" applyProtection="false">
      <alignment horizontal="left" vertical="center" textRotation="0" wrapText="true" indent="0" shrinkToFit="false"/>
      <protection locked="true" hidden="false"/>
    </xf>
    <xf numFmtId="164" fontId="5" fillId="4"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right" vertical="center" textRotation="0" wrapText="false" indent="0" shrinkToFit="false"/>
      <protection locked="true" hidden="false"/>
    </xf>
    <xf numFmtId="166" fontId="6" fillId="0" borderId="1" xfId="0" applyFont="true" applyBorder="true" applyAlignment="true" applyProtection="false">
      <alignment horizontal="righ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7" fontId="9" fillId="5"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8" fontId="9" fillId="5" borderId="1" xfId="0" applyFont="true" applyBorder="true" applyAlignment="true" applyProtection="false">
      <alignment horizontal="center" vertical="center" textRotation="0" wrapText="true" indent="0" shrinkToFit="false"/>
      <protection locked="true" hidden="false"/>
    </xf>
    <xf numFmtId="169" fontId="9"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70" fontId="9" fillId="5" borderId="1" xfId="0" applyFont="true" applyBorder="true" applyAlignment="true" applyProtection="false">
      <alignment horizontal="center" vertical="center" textRotation="0" wrapText="true" indent="0" shrinkToFit="false"/>
      <protection locked="true" hidden="false"/>
    </xf>
    <xf numFmtId="171" fontId="9" fillId="5"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71" fontId="12" fillId="5" borderId="1" xfId="0" applyFont="true" applyBorder="true" applyAlignment="true" applyProtection="false">
      <alignment horizontal="center" vertical="center" textRotation="0" wrapText="true" indent="0" shrinkToFit="false"/>
      <protection locked="true" hidden="false"/>
    </xf>
    <xf numFmtId="167" fontId="12" fillId="5" borderId="1" xfId="0" applyFont="true" applyBorder="true" applyAlignment="true" applyProtection="false">
      <alignment horizontal="center" vertical="center" textRotation="0" wrapText="true" indent="0" shrinkToFit="false"/>
      <protection locked="true" hidden="false"/>
    </xf>
    <xf numFmtId="168" fontId="12" fillId="5" borderId="1" xfId="0" applyFont="true" applyBorder="true" applyAlignment="true" applyProtection="false">
      <alignment horizontal="center" vertical="center" textRotation="0" wrapText="true" indent="0" shrinkToFit="false"/>
      <protection locked="true" hidden="false"/>
    </xf>
    <xf numFmtId="169" fontId="12" fillId="5" borderId="1" xfId="0" applyFont="true" applyBorder="true" applyAlignment="true" applyProtection="false">
      <alignment horizontal="center" vertical="center" textRotation="0" wrapText="true" indent="0" shrinkToFit="false"/>
      <protection locked="true" hidden="false"/>
    </xf>
    <xf numFmtId="170" fontId="12" fillId="5"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71"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8" fontId="6" fillId="0" borderId="1" xfId="0" applyFont="true" applyBorder="true" applyAlignment="true" applyProtection="false">
      <alignment horizontal="center" vertical="center" textRotation="0" wrapText="true" indent="0" shrinkToFit="false"/>
      <protection locked="true" hidden="false"/>
    </xf>
    <xf numFmtId="169" fontId="6" fillId="0" borderId="1" xfId="0" applyFont="true" applyBorder="true" applyAlignment="true" applyProtection="false">
      <alignment horizontal="center" vertical="center" textRotation="0" wrapText="true" indent="0" shrinkToFit="false"/>
      <protection locked="true" hidden="false"/>
    </xf>
    <xf numFmtId="170" fontId="6" fillId="0" borderId="1" xfId="0" applyFont="true" applyBorder="true" applyAlignment="true" applyProtection="false">
      <alignment horizontal="center" vertical="center" textRotation="0" wrapText="true" indent="0" shrinkToFit="false"/>
      <protection locked="true" hidden="false"/>
    </xf>
    <xf numFmtId="171" fontId="0" fillId="0" borderId="1" xfId="0" applyFont="fals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7" fontId="0" fillId="0" borderId="1" xfId="0" applyFont="false" applyBorder="true" applyAlignment="true" applyProtection="false">
      <alignment horizontal="center" vertical="center" textRotation="0" wrapText="true" indent="0" shrinkToFit="false"/>
      <protection locked="true" hidden="false"/>
    </xf>
    <xf numFmtId="168" fontId="0" fillId="0" borderId="1" xfId="0" applyFont="false" applyBorder="true" applyAlignment="true" applyProtection="false">
      <alignment horizontal="center" vertical="center" textRotation="0" wrapText="true" indent="0" shrinkToFit="false"/>
      <protection locked="true" hidden="false"/>
    </xf>
    <xf numFmtId="169" fontId="0" fillId="0" borderId="1" xfId="0" applyFont="false" applyBorder="true" applyAlignment="true" applyProtection="false">
      <alignment horizontal="center" vertical="center" textRotation="0" wrapText="true" indent="0" shrinkToFit="false"/>
      <protection locked="true" hidden="false"/>
    </xf>
    <xf numFmtId="170" fontId="0" fillId="0" borderId="1" xfId="0" applyFont="fals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72" fontId="13"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CC"/>
      <rgbColor rgb="FFFFFF00"/>
      <rgbColor rgb="FFFF00FF"/>
      <rgbColor rgb="FF00FFFF"/>
      <rgbColor rgb="FF800000"/>
      <rgbColor rgb="FF006600"/>
      <rgbColor rgb="FF000080"/>
      <rgbColor rgb="FF808000"/>
      <rgbColor rgb="FF800080"/>
      <rgbColor rgb="FF008080"/>
      <rgbColor rgb="FFC0C0C0"/>
      <rgbColor rgb="FF808080"/>
      <rgbColor rgb="FF9999FF"/>
      <rgbColor rgb="FF993366"/>
      <rgbColor rgb="FFFFF2CC"/>
      <rgbColor rgb="FFE8EC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0E8"/>
      <rgbColor rgb="FFC6EFCE"/>
      <rgbColor rgb="FFFFFF99"/>
      <rgbColor rgb="FF99CCFF"/>
      <rgbColor rgb="FFFF99CC"/>
      <rgbColor rgb="FFCC99FF"/>
      <rgbColor rgb="FFFFC7CE"/>
      <rgbColor rgb="FF3366FF"/>
      <rgbColor rgb="FF33CCCC"/>
      <rgbColor rgb="FF99CC00"/>
      <rgbColor rgb="FFFFCC00"/>
      <rgbColor rgb="FFFF9900"/>
      <rgbColor rgb="FFD85A30"/>
      <rgbColor rgb="FF595959"/>
      <rgbColor rgb="FF999999"/>
      <rgbColor rgb="FF003366"/>
      <rgbColor rgb="FF339966"/>
      <rgbColor rgb="FF003300"/>
      <rgbColor rgb="FF333300"/>
      <rgbColor rgb="FF993300"/>
      <rgbColor rgb="FF993366"/>
      <rgbColor rgb="FF333399"/>
      <rgbColor rgb="FF1A27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00"/>
    <col collapsed="false" customWidth="true" hidden="false" outlineLevel="0" max="9" min="3" style="0" width="12"/>
  </cols>
  <sheetData>
    <row r="1" customFormat="false" ht="25.5" hidden="false" customHeight="true" outlineLevel="0" collapsed="false">
      <c r="A1" s="1" t="s">
        <v>0</v>
      </c>
      <c r="B1" s="1"/>
      <c r="C1" s="1"/>
      <c r="D1" s="1"/>
      <c r="E1" s="1"/>
      <c r="F1" s="1"/>
      <c r="G1" s="1"/>
      <c r="H1" s="1"/>
      <c r="I1" s="1"/>
      <c r="J1" s="1"/>
    </row>
    <row r="2" customFormat="false" ht="25.5" hidden="false" customHeight="true" outlineLevel="0" collapsed="false">
      <c r="A2" s="2" t="s">
        <v>1</v>
      </c>
      <c r="B2" s="2"/>
      <c r="C2" s="2"/>
      <c r="D2" s="2"/>
      <c r="E2" s="2"/>
      <c r="F2" s="2"/>
      <c r="G2" s="2"/>
      <c r="H2" s="2"/>
      <c r="I2" s="2"/>
      <c r="J2" s="2"/>
    </row>
    <row r="4" customFormat="false" ht="19.5" hidden="false" customHeight="true" outlineLevel="0" collapsed="false">
      <c r="A4" s="3" t="s">
        <v>2</v>
      </c>
      <c r="B4" s="3"/>
      <c r="C4" s="3"/>
      <c r="D4" s="3"/>
      <c r="E4" s="3"/>
      <c r="F4" s="3"/>
      <c r="G4" s="3"/>
      <c r="H4" s="3"/>
      <c r="I4" s="3"/>
      <c r="J4" s="3"/>
    </row>
    <row r="5" customFormat="false" ht="55.5" hidden="false" customHeight="true" outlineLevel="0" collapsed="false">
      <c r="B5" s="4" t="s">
        <v>3</v>
      </c>
      <c r="C5" s="4"/>
      <c r="D5" s="4"/>
      <c r="E5" s="4"/>
      <c r="F5" s="4"/>
      <c r="G5" s="4"/>
      <c r="H5" s="4"/>
      <c r="I5" s="4"/>
      <c r="J5" s="4"/>
    </row>
    <row r="7" customFormat="false" ht="19.5" hidden="false" customHeight="true" outlineLevel="0" collapsed="false">
      <c r="A7" s="3" t="s">
        <v>4</v>
      </c>
      <c r="B7" s="3"/>
      <c r="C7" s="3"/>
      <c r="D7" s="3"/>
      <c r="E7" s="3"/>
      <c r="F7" s="3"/>
      <c r="G7" s="3"/>
      <c r="H7" s="3"/>
      <c r="I7" s="3"/>
      <c r="J7" s="3"/>
    </row>
    <row r="8" customFormat="false" ht="55.5" hidden="false" customHeight="true" outlineLevel="0" collapsed="false">
      <c r="B8" s="4" t="s">
        <v>5</v>
      </c>
      <c r="C8" s="4"/>
      <c r="D8" s="4"/>
      <c r="E8" s="4"/>
      <c r="F8" s="4"/>
      <c r="G8" s="4"/>
      <c r="H8" s="4"/>
      <c r="I8" s="4"/>
      <c r="J8" s="4"/>
    </row>
    <row r="10" customFormat="false" ht="19.5" hidden="false" customHeight="true" outlineLevel="0" collapsed="false">
      <c r="A10" s="3" t="s">
        <v>6</v>
      </c>
      <c r="B10" s="3"/>
      <c r="C10" s="3"/>
      <c r="D10" s="3"/>
      <c r="E10" s="3"/>
      <c r="F10" s="3"/>
      <c r="G10" s="3"/>
      <c r="H10" s="3"/>
      <c r="I10" s="3"/>
      <c r="J10" s="3"/>
    </row>
    <row r="11" customFormat="false" ht="55.5" hidden="false" customHeight="true" outlineLevel="0" collapsed="false">
      <c r="B11" s="4" t="s">
        <v>7</v>
      </c>
      <c r="C11" s="4"/>
      <c r="D11" s="4"/>
      <c r="E11" s="4"/>
      <c r="F11" s="4"/>
      <c r="G11" s="4"/>
      <c r="H11" s="4"/>
      <c r="I11" s="4"/>
      <c r="J11" s="4"/>
    </row>
    <row r="13" customFormat="false" ht="19.5" hidden="false" customHeight="true" outlineLevel="0" collapsed="false">
      <c r="A13" s="3" t="s">
        <v>8</v>
      </c>
      <c r="B13" s="3"/>
      <c r="C13" s="3"/>
      <c r="D13" s="3"/>
      <c r="E13" s="3"/>
      <c r="F13" s="3"/>
      <c r="G13" s="3"/>
      <c r="H13" s="3"/>
      <c r="I13" s="3"/>
      <c r="J13" s="3"/>
    </row>
    <row r="14" customFormat="false" ht="42" hidden="false" customHeight="true" outlineLevel="0" collapsed="false">
      <c r="B14" s="4" t="s">
        <v>9</v>
      </c>
      <c r="C14" s="4"/>
      <c r="D14" s="4"/>
      <c r="E14" s="4"/>
      <c r="F14" s="4"/>
      <c r="G14" s="4"/>
      <c r="H14" s="4"/>
      <c r="I14" s="4"/>
      <c r="J14" s="4"/>
    </row>
    <row r="16" customFormat="false" ht="19.5" hidden="false" customHeight="true" outlineLevel="0" collapsed="false">
      <c r="A16" s="3" t="s">
        <v>10</v>
      </c>
      <c r="B16" s="3"/>
      <c r="C16" s="3"/>
      <c r="D16" s="3"/>
      <c r="E16" s="3"/>
      <c r="F16" s="3"/>
      <c r="G16" s="3"/>
      <c r="H16" s="3"/>
      <c r="I16" s="3"/>
      <c r="J16" s="3"/>
    </row>
    <row r="17" customFormat="false" ht="37.5" hidden="false" customHeight="true" outlineLevel="0" collapsed="false">
      <c r="B17" s="4" t="s">
        <v>11</v>
      </c>
      <c r="C17" s="4"/>
      <c r="D17" s="4"/>
      <c r="E17" s="4"/>
      <c r="F17" s="4"/>
      <c r="G17" s="4"/>
      <c r="H17" s="4"/>
      <c r="I17" s="4"/>
      <c r="J17" s="4"/>
    </row>
    <row r="19" customFormat="false" ht="19.5" hidden="false" customHeight="true" outlineLevel="0" collapsed="false">
      <c r="A19" s="3" t="s">
        <v>12</v>
      </c>
      <c r="B19" s="3"/>
      <c r="C19" s="3"/>
      <c r="D19" s="3"/>
      <c r="E19" s="3"/>
      <c r="F19" s="3"/>
      <c r="G19" s="3"/>
      <c r="H19" s="3"/>
      <c r="I19" s="3"/>
      <c r="J19" s="3"/>
    </row>
    <row r="20" customFormat="false" ht="69.75" hidden="false" customHeight="true" outlineLevel="0" collapsed="false">
      <c r="B20" s="4" t="s">
        <v>13</v>
      </c>
      <c r="C20" s="4"/>
      <c r="D20" s="4"/>
      <c r="E20" s="4"/>
      <c r="F20" s="4"/>
      <c r="G20" s="4"/>
      <c r="H20" s="4"/>
      <c r="I20" s="4"/>
      <c r="J20" s="4"/>
    </row>
    <row r="22" customFormat="false" ht="19.5" hidden="false" customHeight="true" outlineLevel="0" collapsed="false">
      <c r="A22" s="3" t="s">
        <v>14</v>
      </c>
      <c r="B22" s="3"/>
      <c r="C22" s="3"/>
      <c r="D22" s="3"/>
      <c r="E22" s="3"/>
      <c r="F22" s="3"/>
      <c r="G22" s="3"/>
      <c r="H22" s="3"/>
      <c r="I22" s="3"/>
      <c r="J22" s="3"/>
    </row>
    <row r="23" customFormat="false" ht="42" hidden="false" customHeight="true" outlineLevel="0" collapsed="false">
      <c r="B23" s="4" t="s">
        <v>15</v>
      </c>
      <c r="C23" s="4"/>
      <c r="D23" s="4"/>
      <c r="E23" s="4"/>
      <c r="F23" s="4"/>
      <c r="G23" s="4"/>
      <c r="H23" s="4"/>
      <c r="I23" s="4"/>
      <c r="J23" s="4"/>
    </row>
    <row r="25" customFormat="false" ht="19.5" hidden="false" customHeight="true" outlineLevel="0" collapsed="false">
      <c r="A25" s="3" t="s">
        <v>16</v>
      </c>
      <c r="B25" s="3"/>
      <c r="C25" s="3"/>
      <c r="D25" s="3"/>
      <c r="E25" s="3"/>
      <c r="F25" s="3"/>
      <c r="G25" s="3"/>
      <c r="H25" s="3"/>
      <c r="I25" s="3"/>
      <c r="J25" s="3"/>
    </row>
    <row r="26" customFormat="false" ht="37.5" hidden="false" customHeight="true" outlineLevel="0" collapsed="false">
      <c r="B26" s="4" t="s">
        <v>17</v>
      </c>
      <c r="C26" s="4"/>
      <c r="D26" s="4"/>
      <c r="E26" s="4"/>
      <c r="F26" s="4"/>
      <c r="G26" s="4"/>
      <c r="H26" s="4"/>
      <c r="I26" s="4"/>
      <c r="J26" s="4"/>
    </row>
  </sheetData>
  <mergeCells count="18">
    <mergeCell ref="A1:J1"/>
    <mergeCell ref="A2:J2"/>
    <mergeCell ref="A4:J4"/>
    <mergeCell ref="B5:J5"/>
    <mergeCell ref="A7:J7"/>
    <mergeCell ref="B8:J8"/>
    <mergeCell ref="A10:J10"/>
    <mergeCell ref="B11:J11"/>
    <mergeCell ref="A13:J13"/>
    <mergeCell ref="B14:J14"/>
    <mergeCell ref="A16:J16"/>
    <mergeCell ref="B17:J17"/>
    <mergeCell ref="A19:J19"/>
    <mergeCell ref="B20:J20"/>
    <mergeCell ref="A22:J22"/>
    <mergeCell ref="B23:J23"/>
    <mergeCell ref="A25:J25"/>
    <mergeCell ref="B26:J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4" min="3" style="0" width="16"/>
    <col collapsed="false" customWidth="true" hidden="false" outlineLevel="0" max="6" min="5" style="0" width="18"/>
    <col collapsed="false" customWidth="true" hidden="false" outlineLevel="0" max="7" min="7" style="0" width="20"/>
    <col collapsed="false" customWidth="true" hidden="false" outlineLevel="0" max="8" min="8" style="0" width="4"/>
    <col collapsed="false" customWidth="true" hidden="false" outlineLevel="0" max="9" min="9" style="0" width="14"/>
    <col collapsed="false" customWidth="true" hidden="false" outlineLevel="0" max="10" min="10" style="0" width="18"/>
  </cols>
  <sheetData>
    <row r="1" customFormat="false" ht="25.5" hidden="false" customHeight="true" outlineLevel="0" collapsed="false">
      <c r="A1" s="1" t="s">
        <v>18</v>
      </c>
      <c r="B1" s="1"/>
      <c r="C1" s="1"/>
      <c r="D1" s="1"/>
      <c r="E1" s="1"/>
      <c r="F1" s="1"/>
      <c r="G1" s="1"/>
    </row>
    <row r="2" customFormat="false" ht="15" hidden="false" customHeight="false" outlineLevel="0" collapsed="false">
      <c r="A2" s="5" t="s">
        <v>19</v>
      </c>
      <c r="B2" s="5"/>
      <c r="C2" s="5"/>
      <c r="D2" s="5"/>
      <c r="E2" s="5"/>
      <c r="F2" s="5"/>
      <c r="G2" s="5"/>
    </row>
    <row r="3" customFormat="false" ht="31.5" hidden="false" customHeight="true" outlineLevel="0" collapsed="false">
      <c r="A3" s="6" t="s">
        <v>20</v>
      </c>
      <c r="B3" s="6" t="s">
        <v>21</v>
      </c>
      <c r="C3" s="6" t="s">
        <v>22</v>
      </c>
      <c r="D3" s="6" t="s">
        <v>23</v>
      </c>
      <c r="E3" s="6" t="s">
        <v>24</v>
      </c>
      <c r="F3" s="6" t="s">
        <v>25</v>
      </c>
      <c r="G3" s="6" t="s">
        <v>26</v>
      </c>
    </row>
    <row r="4" customFormat="false" ht="15" hidden="false" customHeight="false" outlineLevel="0" collapsed="false">
      <c r="A4" s="7" t="s">
        <v>27</v>
      </c>
      <c r="B4" s="8" t="n">
        <v>112</v>
      </c>
      <c r="C4" s="8" t="n">
        <v>67200</v>
      </c>
      <c r="D4" s="8" t="n">
        <v>1241</v>
      </c>
      <c r="E4" s="8" t="n">
        <v>3924</v>
      </c>
      <c r="F4" s="8" t="n">
        <v>804661</v>
      </c>
      <c r="G4" s="9" t="n">
        <v>43383</v>
      </c>
    </row>
    <row r="5" customFormat="false" ht="15" hidden="false" customHeight="false" outlineLevel="0" collapsed="false">
      <c r="A5" s="7" t="s">
        <v>28</v>
      </c>
      <c r="B5" s="8" t="n">
        <v>142</v>
      </c>
      <c r="C5" s="8" t="n">
        <v>93152</v>
      </c>
      <c r="D5" s="8" t="n">
        <v>1676</v>
      </c>
      <c r="E5" s="8" t="n">
        <v>5620</v>
      </c>
      <c r="F5" s="8" t="n">
        <v>1117113</v>
      </c>
      <c r="G5" s="9" t="n">
        <v>42912</v>
      </c>
    </row>
    <row r="6" customFormat="false" ht="15" hidden="false" customHeight="false" outlineLevel="0" collapsed="false">
      <c r="A6" s="7" t="s">
        <v>29</v>
      </c>
      <c r="B6" s="8" t="n">
        <v>118</v>
      </c>
      <c r="C6" s="8" t="n">
        <v>63956</v>
      </c>
      <c r="D6" s="8" t="n">
        <v>1153</v>
      </c>
      <c r="E6" s="8" t="n">
        <v>4129</v>
      </c>
      <c r="F6" s="8" t="n">
        <v>768189</v>
      </c>
      <c r="G6" s="9" t="n">
        <v>42392</v>
      </c>
    </row>
    <row r="7" customFormat="false" ht="15" hidden="false" customHeight="false" outlineLevel="0" collapsed="false">
      <c r="A7" s="7" t="s">
        <v>30</v>
      </c>
      <c r="B7" s="8" t="n">
        <v>78</v>
      </c>
      <c r="C7" s="8" t="n">
        <v>33462</v>
      </c>
      <c r="D7" s="8" t="n">
        <v>672</v>
      </c>
      <c r="E7" s="8" t="n">
        <v>2098</v>
      </c>
      <c r="F7" s="8" t="n">
        <v>401898</v>
      </c>
      <c r="G7" s="9" t="n">
        <v>33613</v>
      </c>
    </row>
    <row r="8" customFormat="false" ht="15" hidden="false" customHeight="false" outlineLevel="0" collapsed="false">
      <c r="A8" s="7" t="s">
        <v>31</v>
      </c>
      <c r="B8" s="8" t="n">
        <v>117</v>
      </c>
      <c r="C8" s="8" t="n">
        <v>53118</v>
      </c>
      <c r="D8" s="8" t="n">
        <v>1279</v>
      </c>
      <c r="E8" s="8" t="n">
        <v>3213</v>
      </c>
      <c r="F8" s="8" t="n">
        <v>636670</v>
      </c>
      <c r="G8" s="9" t="n">
        <v>41156</v>
      </c>
    </row>
    <row r="9" customFormat="false" ht="15" hidden="false" customHeight="false" outlineLevel="0" collapsed="false">
      <c r="A9" s="7" t="s">
        <v>32</v>
      </c>
      <c r="B9" s="8" t="n">
        <v>149</v>
      </c>
      <c r="C9" s="8" t="n">
        <v>49915</v>
      </c>
      <c r="D9" s="8" t="n">
        <v>1238</v>
      </c>
      <c r="E9" s="8" t="n">
        <v>2567</v>
      </c>
      <c r="F9" s="8" t="n">
        <v>598877</v>
      </c>
      <c r="G9" s="9" t="n">
        <v>49323</v>
      </c>
    </row>
    <row r="10" customFormat="false" ht="15" hidden="false" customHeight="false" outlineLevel="0" collapsed="false">
      <c r="A10" s="7" t="s">
        <v>33</v>
      </c>
      <c r="B10" s="8" t="n">
        <v>150</v>
      </c>
      <c r="C10" s="8" t="n">
        <v>74250</v>
      </c>
      <c r="D10" s="8" t="n">
        <v>1528</v>
      </c>
      <c r="E10" s="8" t="n">
        <v>4118</v>
      </c>
      <c r="F10" s="8" t="n">
        <v>890270</v>
      </c>
      <c r="G10" s="9" t="n">
        <v>52560</v>
      </c>
    </row>
    <row r="11" customFormat="false" ht="15" hidden="false" customHeight="false" outlineLevel="0" collapsed="false">
      <c r="A11" s="7" t="s">
        <v>34</v>
      </c>
      <c r="B11" s="8" t="n">
        <v>142</v>
      </c>
      <c r="C11" s="8" t="n">
        <v>90312</v>
      </c>
      <c r="D11" s="8" t="n">
        <v>1654</v>
      </c>
      <c r="E11" s="8" t="n">
        <v>5122</v>
      </c>
      <c r="F11" s="8" t="n">
        <v>1082192</v>
      </c>
      <c r="G11" s="9" t="n">
        <v>47836</v>
      </c>
    </row>
    <row r="12" customFormat="false" ht="15" hidden="false" customHeight="false" outlineLevel="0" collapsed="false">
      <c r="A12" s="7" t="s">
        <v>35</v>
      </c>
      <c r="B12" s="8" t="n">
        <v>138</v>
      </c>
      <c r="C12" s="8" t="n">
        <v>79626</v>
      </c>
      <c r="D12" s="8" t="n">
        <v>1614</v>
      </c>
      <c r="E12" s="8" t="n">
        <v>4267</v>
      </c>
      <c r="F12" s="8" t="n">
        <v>954985</v>
      </c>
      <c r="G12" s="9" t="n">
        <v>49125</v>
      </c>
    </row>
    <row r="13" customFormat="false" ht="15" hidden="false" customHeight="false" outlineLevel="0" collapsed="false">
      <c r="A13" s="7" t="s">
        <v>36</v>
      </c>
      <c r="B13" s="8" t="n">
        <v>91</v>
      </c>
      <c r="C13" s="8" t="n">
        <v>60242</v>
      </c>
      <c r="D13" s="8" t="n">
        <v>1141</v>
      </c>
      <c r="E13" s="8" t="n">
        <v>3647</v>
      </c>
      <c r="F13" s="8" t="n">
        <v>723149</v>
      </c>
      <c r="G13" s="9" t="n">
        <v>38557</v>
      </c>
    </row>
    <row r="14" customFormat="false" ht="15" hidden="false" customHeight="false" outlineLevel="0" collapsed="false">
      <c r="A14" s="7" t="s">
        <v>37</v>
      </c>
      <c r="B14" s="8" t="n">
        <v>35</v>
      </c>
      <c r="C14" s="8" t="n">
        <v>16800</v>
      </c>
      <c r="D14" s="8" t="n">
        <v>314</v>
      </c>
      <c r="E14" s="8" t="n">
        <v>1450</v>
      </c>
      <c r="F14" s="8" t="n">
        <v>200255</v>
      </c>
      <c r="G14" s="9" t="n">
        <v>30000</v>
      </c>
    </row>
    <row r="15" customFormat="false" ht="15" hidden="false" customHeight="false" outlineLevel="0" collapsed="false">
      <c r="A15" s="7" t="s">
        <v>38</v>
      </c>
      <c r="B15" s="8" t="n">
        <v>76</v>
      </c>
      <c r="C15" s="8" t="n">
        <v>25612</v>
      </c>
      <c r="D15" s="8" t="n">
        <v>658</v>
      </c>
      <c r="E15" s="8" t="n">
        <v>1432</v>
      </c>
      <c r="F15" s="8" t="n">
        <v>309033</v>
      </c>
      <c r="G15" s="9" t="n">
        <v>34751</v>
      </c>
    </row>
    <row r="16" customFormat="false" ht="15" hidden="false" customHeight="false" outlineLevel="0" collapsed="false">
      <c r="A16" s="7" t="s">
        <v>39</v>
      </c>
      <c r="B16" s="8" t="n">
        <v>107</v>
      </c>
      <c r="C16" s="8" t="n">
        <v>52216</v>
      </c>
      <c r="D16" s="8" t="n">
        <v>1228</v>
      </c>
      <c r="E16" s="8" t="n">
        <v>3650</v>
      </c>
      <c r="F16" s="8" t="n">
        <v>626913</v>
      </c>
      <c r="G16" s="9" t="n">
        <v>41835</v>
      </c>
    </row>
    <row r="17" customFormat="false" ht="15" hidden="false" customHeight="false" outlineLevel="0" collapsed="false">
      <c r="A17" s="7" t="s">
        <v>40</v>
      </c>
      <c r="B17" s="8" t="n">
        <v>95</v>
      </c>
      <c r="C17" s="8" t="n">
        <v>40185</v>
      </c>
      <c r="D17" s="8" t="n">
        <v>838</v>
      </c>
      <c r="E17" s="8" t="n">
        <v>2267</v>
      </c>
      <c r="F17" s="8" t="n">
        <v>481364</v>
      </c>
      <c r="G17" s="9" t="n">
        <v>40526</v>
      </c>
    </row>
    <row r="18" customFormat="false" ht="15" hidden="false" customHeight="false" outlineLevel="0" collapsed="false">
      <c r="A18" s="7" t="s">
        <v>41</v>
      </c>
      <c r="B18" s="8" t="n">
        <v>80</v>
      </c>
      <c r="C18" s="8" t="n">
        <v>36000</v>
      </c>
      <c r="D18" s="8" t="n">
        <v>589</v>
      </c>
      <c r="E18" s="8" t="n">
        <v>2327</v>
      </c>
      <c r="F18" s="8" t="n">
        <v>432853</v>
      </c>
      <c r="G18" s="9" t="n">
        <v>33316</v>
      </c>
    </row>
    <row r="19" customFormat="false" ht="15" hidden="false" customHeight="false" outlineLevel="0" collapsed="false">
      <c r="A19" s="7" t="s">
        <v>42</v>
      </c>
      <c r="B19" s="8" t="n">
        <v>111</v>
      </c>
      <c r="C19" s="8" t="n">
        <v>43845</v>
      </c>
      <c r="D19" s="8" t="n">
        <v>830</v>
      </c>
      <c r="E19" s="8" t="n">
        <v>2718</v>
      </c>
      <c r="F19" s="8" t="n">
        <v>526680</v>
      </c>
      <c r="G19" s="9" t="n">
        <v>40624</v>
      </c>
    </row>
    <row r="20" customFormat="false" ht="15" hidden="false" customHeight="false" outlineLevel="0" collapsed="false">
      <c r="A20" s="7" t="s">
        <v>43</v>
      </c>
      <c r="B20" s="8" t="n">
        <v>91</v>
      </c>
      <c r="C20" s="8" t="n">
        <v>49140</v>
      </c>
      <c r="D20" s="8" t="n">
        <v>884</v>
      </c>
      <c r="E20" s="8" t="n">
        <v>2906</v>
      </c>
      <c r="F20" s="8" t="n">
        <v>588301</v>
      </c>
      <c r="G20" s="9" t="n">
        <v>41352</v>
      </c>
    </row>
    <row r="21" customFormat="false" ht="15" hidden="false" customHeight="false" outlineLevel="0" collapsed="false">
      <c r="A21" s="7" t="s">
        <v>44</v>
      </c>
      <c r="B21" s="8" t="n">
        <v>187</v>
      </c>
      <c r="C21" s="8" t="n">
        <v>108273</v>
      </c>
      <c r="D21" s="8" t="n">
        <v>1935</v>
      </c>
      <c r="E21" s="8" t="n">
        <v>6429</v>
      </c>
      <c r="F21" s="8" t="n">
        <v>1298409</v>
      </c>
      <c r="G21" s="9" t="n">
        <v>56225</v>
      </c>
    </row>
    <row r="22" customFormat="false" ht="15" hidden="false" customHeight="false" outlineLevel="0" collapsed="false">
      <c r="A22" s="7" t="s">
        <v>45</v>
      </c>
      <c r="B22" s="8" t="n">
        <v>188</v>
      </c>
      <c r="C22" s="8" t="n">
        <v>58092</v>
      </c>
      <c r="D22" s="8" t="n">
        <v>1438</v>
      </c>
      <c r="E22" s="8" t="n">
        <v>3609</v>
      </c>
      <c r="F22" s="8" t="n">
        <v>697646</v>
      </c>
      <c r="G22" s="9" t="n">
        <v>60755</v>
      </c>
    </row>
    <row r="23" customFormat="false" ht="15" hidden="false" customHeight="false" outlineLevel="0" collapsed="false">
      <c r="A23" s="7" t="s">
        <v>46</v>
      </c>
      <c r="B23" s="8" t="n">
        <v>103</v>
      </c>
      <c r="C23" s="8" t="n">
        <v>62315</v>
      </c>
      <c r="D23" s="8" t="n">
        <v>1109</v>
      </c>
      <c r="E23" s="8" t="n">
        <v>3589</v>
      </c>
      <c r="F23" s="8" t="n">
        <v>747004</v>
      </c>
      <c r="G23" s="9" t="n">
        <v>41442</v>
      </c>
    </row>
    <row r="24" customFormat="false" ht="15" hidden="false" customHeight="false" outlineLevel="0" collapsed="false">
      <c r="A24" s="7" t="s">
        <v>47</v>
      </c>
      <c r="B24" s="8" t="n">
        <v>95</v>
      </c>
      <c r="C24" s="8" t="n">
        <v>47120</v>
      </c>
      <c r="D24" s="8" t="n">
        <v>907</v>
      </c>
      <c r="E24" s="8" t="n">
        <v>3153</v>
      </c>
      <c r="F24" s="8" t="n">
        <v>565386</v>
      </c>
      <c r="G24" s="9" t="n">
        <v>35898</v>
      </c>
    </row>
    <row r="25" customFormat="false" ht="15" hidden="false" customHeight="false" outlineLevel="0" collapsed="false">
      <c r="A25" s="7" t="s">
        <v>48</v>
      </c>
      <c r="B25" s="8" t="n">
        <v>163</v>
      </c>
      <c r="C25" s="8" t="n">
        <v>65526</v>
      </c>
      <c r="D25" s="8" t="n">
        <v>1477</v>
      </c>
      <c r="E25" s="8" t="n">
        <v>3925</v>
      </c>
      <c r="F25" s="8" t="n">
        <v>785972</v>
      </c>
      <c r="G25" s="9" t="n">
        <v>57443</v>
      </c>
    </row>
    <row r="26" customFormat="false" ht="15" hidden="false" customHeight="false" outlineLevel="0" collapsed="false">
      <c r="A26" s="7" t="s">
        <v>49</v>
      </c>
      <c r="B26" s="8" t="n">
        <v>131</v>
      </c>
      <c r="C26" s="8" t="n">
        <v>63666</v>
      </c>
      <c r="D26" s="8" t="n">
        <v>1135</v>
      </c>
      <c r="E26" s="8" t="n">
        <v>3676</v>
      </c>
      <c r="F26" s="8" t="n">
        <v>763130</v>
      </c>
      <c r="G26" s="9" t="n">
        <v>43248</v>
      </c>
    </row>
    <row r="27" customFormat="false" ht="15" hidden="false" customHeight="false" outlineLevel="0" collapsed="false">
      <c r="A27" s="7" t="s">
        <v>50</v>
      </c>
      <c r="B27" s="8" t="n">
        <v>152</v>
      </c>
      <c r="C27" s="8" t="n">
        <v>51224</v>
      </c>
      <c r="D27" s="8" t="n">
        <v>1227</v>
      </c>
      <c r="E27" s="8" t="n">
        <v>2751</v>
      </c>
      <c r="F27" s="8" t="n">
        <v>613952</v>
      </c>
      <c r="G27" s="9" t="n">
        <v>48799</v>
      </c>
    </row>
    <row r="29" customFormat="false" ht="31.5" hidden="false" customHeight="true" outlineLevel="0" collapsed="false">
      <c r="A29" s="5" t="s">
        <v>51</v>
      </c>
      <c r="B29" s="5"/>
      <c r="C29" s="5"/>
      <c r="D29" s="5"/>
      <c r="E29" s="5"/>
      <c r="F29" s="5"/>
      <c r="G29" s="5"/>
    </row>
  </sheetData>
  <mergeCells count="3">
    <mergeCell ref="A1:G1"/>
    <mergeCell ref="A2:G2"/>
    <mergeCell ref="A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4" min="3" style="0" width="18"/>
    <col collapsed="false" customWidth="true" hidden="false" outlineLevel="0" max="5" min="5" style="0" width="5"/>
    <col collapsed="false" customWidth="true" hidden="false" outlineLevel="0" max="7" min="6" style="0" width="16"/>
    <col collapsed="false" customWidth="true" hidden="false" outlineLevel="0" max="8" min="8" style="0" width="5"/>
    <col collapsed="false" customWidth="true" hidden="false" outlineLevel="0" max="11" min="9" style="0" width="16"/>
  </cols>
  <sheetData>
    <row r="1" customFormat="false" ht="25.5" hidden="false" customHeight="true" outlineLevel="0" collapsed="false">
      <c r="A1" s="1" t="s">
        <v>52</v>
      </c>
      <c r="B1" s="1"/>
      <c r="C1" s="1"/>
      <c r="D1" s="1"/>
      <c r="E1" s="1"/>
      <c r="F1" s="1"/>
      <c r="G1" s="1"/>
      <c r="H1" s="1"/>
      <c r="I1" s="1"/>
      <c r="J1" s="1"/>
    </row>
    <row r="2" customFormat="false" ht="42" hidden="false" customHeight="true" outlineLevel="0" collapsed="false">
      <c r="A2" s="4" t="s">
        <v>53</v>
      </c>
      <c r="B2" s="4"/>
      <c r="C2" s="4"/>
      <c r="D2" s="4"/>
      <c r="E2" s="4"/>
      <c r="F2" s="4"/>
      <c r="G2" s="4"/>
      <c r="H2" s="4"/>
      <c r="I2" s="4"/>
      <c r="J2" s="4"/>
    </row>
    <row r="4" customFormat="false" ht="19.5" hidden="false" customHeight="true" outlineLevel="0" collapsed="false">
      <c r="A4" s="3" t="s">
        <v>54</v>
      </c>
      <c r="B4" s="3"/>
      <c r="C4" s="3"/>
      <c r="D4" s="3"/>
      <c r="E4" s="3"/>
      <c r="F4" s="3"/>
      <c r="G4" s="3"/>
      <c r="H4" s="3"/>
      <c r="I4" s="3"/>
      <c r="J4" s="3"/>
    </row>
    <row r="5" customFormat="false" ht="26.85" hidden="false" customHeight="false" outlineLevel="0" collapsed="false">
      <c r="B5" s="6" t="s">
        <v>55</v>
      </c>
      <c r="C5" s="6" t="s">
        <v>56</v>
      </c>
      <c r="D5" s="6" t="s">
        <v>57</v>
      </c>
    </row>
    <row r="6" customFormat="false" ht="15" hidden="false" customHeight="false" outlineLevel="0" collapsed="false">
      <c r="B6" s="10" t="s">
        <v>21</v>
      </c>
      <c r="C6" s="11"/>
      <c r="D6" s="11"/>
    </row>
    <row r="7" customFormat="false" ht="15" hidden="false" customHeight="false" outlineLevel="0" collapsed="false">
      <c r="B7" s="10" t="s">
        <v>22</v>
      </c>
      <c r="C7" s="11"/>
      <c r="D7" s="11"/>
    </row>
    <row r="8" customFormat="false" ht="15" hidden="false" customHeight="false" outlineLevel="0" collapsed="false">
      <c r="B8" s="10" t="s">
        <v>23</v>
      </c>
      <c r="C8" s="11"/>
      <c r="D8" s="11"/>
    </row>
    <row r="9" customFormat="false" ht="15" hidden="false" customHeight="false" outlineLevel="0" collapsed="false">
      <c r="B9" s="10" t="s">
        <v>24</v>
      </c>
      <c r="C9" s="11"/>
      <c r="D9" s="11"/>
    </row>
    <row r="10" customFormat="false" ht="15" hidden="false" customHeight="false" outlineLevel="0" collapsed="false">
      <c r="B10" s="10" t="s">
        <v>25</v>
      </c>
      <c r="C10" s="11"/>
      <c r="D10" s="11"/>
    </row>
    <row r="11" customFormat="false" ht="30" hidden="false" customHeight="true" outlineLevel="0" collapsed="false">
      <c r="B11" s="12" t="s">
        <v>58</v>
      </c>
      <c r="C11" s="12"/>
      <c r="D11" s="12"/>
    </row>
    <row r="13" customFormat="false" ht="19.5" hidden="false" customHeight="true" outlineLevel="0" collapsed="false">
      <c r="A13" s="3" t="s">
        <v>59</v>
      </c>
      <c r="B13" s="3"/>
      <c r="C13" s="3"/>
      <c r="D13" s="3"/>
      <c r="E13" s="3"/>
      <c r="F13" s="3"/>
      <c r="G13" s="3"/>
      <c r="H13" s="3"/>
      <c r="I13" s="3"/>
      <c r="J13" s="3"/>
    </row>
    <row r="14" customFormat="false" ht="42" hidden="false" customHeight="true" outlineLevel="0" collapsed="false">
      <c r="A14" s="4" t="s">
        <v>60</v>
      </c>
      <c r="B14" s="4"/>
      <c r="C14" s="4"/>
      <c r="D14" s="4"/>
      <c r="E14" s="4"/>
      <c r="F14" s="4"/>
      <c r="G14" s="4"/>
      <c r="H14" s="4"/>
      <c r="I14" s="4"/>
      <c r="J14" s="4"/>
    </row>
    <row r="16" customFormat="false" ht="15" hidden="false" customHeight="true" outlineLevel="0" collapsed="false">
      <c r="B16" s="13" t="s">
        <v>61</v>
      </c>
      <c r="C16" s="13"/>
      <c r="D16" s="13"/>
      <c r="F16" s="13" t="s">
        <v>62</v>
      </c>
      <c r="G16" s="13"/>
      <c r="H16" s="13"/>
      <c r="J16" s="13" t="s">
        <v>63</v>
      </c>
      <c r="K16" s="13"/>
      <c r="L16" s="13"/>
    </row>
    <row r="17" customFormat="false" ht="15" hidden="false" customHeight="false" outlineLevel="0" collapsed="false">
      <c r="B17" s="13"/>
      <c r="C17" s="13"/>
      <c r="D17" s="13"/>
      <c r="F17" s="13"/>
      <c r="G17" s="13"/>
      <c r="H17" s="13"/>
      <c r="J17" s="13"/>
      <c r="K17" s="13"/>
      <c r="L17" s="13"/>
    </row>
    <row r="18" customFormat="false" ht="15" hidden="false" customHeight="false" outlineLevel="0" collapsed="false">
      <c r="B18" s="13"/>
      <c r="C18" s="13"/>
      <c r="D18" s="13"/>
      <c r="F18" s="13"/>
      <c r="G18" s="13"/>
      <c r="H18" s="13"/>
      <c r="J18" s="13"/>
      <c r="K18" s="13"/>
      <c r="L18" s="13"/>
    </row>
    <row r="19" customFormat="false" ht="15" hidden="false" customHeight="false" outlineLevel="0" collapsed="false">
      <c r="B19" s="13"/>
      <c r="C19" s="13"/>
      <c r="D19" s="13"/>
      <c r="F19" s="13"/>
      <c r="G19" s="13"/>
      <c r="H19" s="13"/>
      <c r="J19" s="13"/>
      <c r="K19" s="13"/>
      <c r="L19" s="13"/>
    </row>
    <row r="20" customFormat="false" ht="15" hidden="false" customHeight="false" outlineLevel="0" collapsed="false">
      <c r="B20" s="13"/>
      <c r="C20" s="13"/>
      <c r="D20" s="13"/>
      <c r="F20" s="13"/>
      <c r="G20" s="13"/>
      <c r="H20" s="13"/>
      <c r="J20" s="13"/>
      <c r="K20" s="13"/>
      <c r="L20" s="13"/>
    </row>
    <row r="21" customFormat="false" ht="15" hidden="false" customHeight="false" outlineLevel="0" collapsed="false">
      <c r="B21" s="13"/>
      <c r="C21" s="13"/>
      <c r="D21" s="13"/>
      <c r="F21" s="13"/>
      <c r="G21" s="13"/>
      <c r="H21" s="13"/>
      <c r="J21" s="13"/>
      <c r="K21" s="13"/>
      <c r="L21" s="13"/>
    </row>
    <row r="22" customFormat="false" ht="15" hidden="false" customHeight="false" outlineLevel="0" collapsed="false">
      <c r="B22" s="13"/>
      <c r="C22" s="13"/>
      <c r="D22" s="13"/>
      <c r="F22" s="13"/>
      <c r="G22" s="13"/>
      <c r="H22" s="13"/>
      <c r="J22" s="13"/>
      <c r="K22" s="13"/>
      <c r="L22" s="13"/>
    </row>
    <row r="23" customFormat="false" ht="15" hidden="false" customHeight="false" outlineLevel="0" collapsed="false">
      <c r="B23" s="13"/>
      <c r="C23" s="13"/>
      <c r="D23" s="13"/>
      <c r="F23" s="13"/>
      <c r="G23" s="13"/>
      <c r="H23" s="13"/>
      <c r="J23" s="13"/>
      <c r="K23" s="13"/>
      <c r="L23" s="13"/>
    </row>
    <row r="24" customFormat="false" ht="15" hidden="false" customHeight="false" outlineLevel="0" collapsed="false">
      <c r="B24" s="13"/>
      <c r="C24" s="13"/>
      <c r="D24" s="13"/>
      <c r="F24" s="13"/>
      <c r="G24" s="13"/>
      <c r="H24" s="13"/>
      <c r="J24" s="13"/>
      <c r="K24" s="13"/>
      <c r="L24" s="13"/>
    </row>
    <row r="25" customFormat="false" ht="15" hidden="false" customHeight="false" outlineLevel="0" collapsed="false">
      <c r="B25" s="13"/>
      <c r="C25" s="13"/>
      <c r="D25" s="13"/>
      <c r="F25" s="13"/>
      <c r="G25" s="13"/>
      <c r="H25" s="13"/>
      <c r="J25" s="13"/>
      <c r="K25" s="13"/>
      <c r="L25" s="13"/>
    </row>
    <row r="26" customFormat="false" ht="15" hidden="false" customHeight="false" outlineLevel="0" collapsed="false">
      <c r="B26" s="13"/>
      <c r="C26" s="13"/>
      <c r="D26" s="13"/>
      <c r="F26" s="13"/>
      <c r="G26" s="13"/>
      <c r="H26" s="13"/>
      <c r="J26" s="13"/>
      <c r="K26" s="13"/>
      <c r="L26" s="13"/>
    </row>
    <row r="27" customFormat="false" ht="15" hidden="false" customHeight="false" outlineLevel="0" collapsed="false">
      <c r="B27" s="13"/>
      <c r="C27" s="13"/>
      <c r="D27" s="13"/>
      <c r="F27" s="13"/>
      <c r="G27" s="13"/>
      <c r="H27" s="13"/>
      <c r="J27" s="13"/>
      <c r="K27" s="13"/>
      <c r="L27" s="13"/>
    </row>
    <row r="28" customFormat="false" ht="15" hidden="false" customHeight="false" outlineLevel="0" collapsed="false">
      <c r="B28" s="13"/>
      <c r="C28" s="13"/>
      <c r="D28" s="13"/>
      <c r="F28" s="13"/>
      <c r="G28" s="13"/>
      <c r="H28" s="13"/>
      <c r="J28" s="13"/>
      <c r="K28" s="13"/>
      <c r="L28" s="13"/>
    </row>
    <row r="30" customFormat="false" ht="15" hidden="false" customHeight="true" outlineLevel="0" collapsed="false">
      <c r="B30" s="13" t="s">
        <v>64</v>
      </c>
      <c r="C30" s="13"/>
      <c r="D30" s="13"/>
      <c r="F30" s="13" t="s">
        <v>65</v>
      </c>
      <c r="G30" s="13"/>
      <c r="H30" s="13"/>
    </row>
    <row r="31" customFormat="false" ht="15" hidden="false" customHeight="false" outlineLevel="0" collapsed="false">
      <c r="B31" s="13"/>
      <c r="C31" s="13"/>
      <c r="D31" s="13"/>
      <c r="F31" s="13"/>
      <c r="G31" s="13"/>
      <c r="H31" s="13"/>
    </row>
    <row r="32" customFormat="false" ht="15" hidden="false" customHeight="false" outlineLevel="0" collapsed="false">
      <c r="B32" s="13"/>
      <c r="C32" s="13"/>
      <c r="D32" s="13"/>
      <c r="F32" s="13"/>
      <c r="G32" s="13"/>
      <c r="H32" s="13"/>
    </row>
    <row r="33" customFormat="false" ht="15" hidden="false" customHeight="false" outlineLevel="0" collapsed="false">
      <c r="B33" s="13"/>
      <c r="C33" s="13"/>
      <c r="D33" s="13"/>
      <c r="F33" s="13"/>
      <c r="G33" s="13"/>
      <c r="H33" s="13"/>
    </row>
    <row r="34" customFormat="false" ht="15" hidden="false" customHeight="false" outlineLevel="0" collapsed="false">
      <c r="B34" s="13"/>
      <c r="C34" s="13"/>
      <c r="D34" s="13"/>
      <c r="F34" s="13"/>
      <c r="G34" s="13"/>
      <c r="H34" s="13"/>
    </row>
    <row r="35" customFormat="false" ht="15" hidden="false" customHeight="false" outlineLevel="0" collapsed="false">
      <c r="B35" s="13"/>
      <c r="C35" s="13"/>
      <c r="D35" s="13"/>
      <c r="F35" s="13"/>
      <c r="G35" s="13"/>
      <c r="H35" s="13"/>
    </row>
    <row r="36" customFormat="false" ht="15" hidden="false" customHeight="false" outlineLevel="0" collapsed="false">
      <c r="B36" s="13"/>
      <c r="C36" s="13"/>
      <c r="D36" s="13"/>
      <c r="F36" s="13"/>
      <c r="G36" s="13"/>
      <c r="H36" s="13"/>
    </row>
    <row r="37" customFormat="false" ht="15" hidden="false" customHeight="false" outlineLevel="0" collapsed="false">
      <c r="B37" s="13"/>
      <c r="C37" s="13"/>
      <c r="D37" s="13"/>
      <c r="F37" s="13"/>
      <c r="G37" s="13"/>
      <c r="H37" s="13"/>
    </row>
    <row r="38" customFormat="false" ht="15" hidden="false" customHeight="false" outlineLevel="0" collapsed="false">
      <c r="B38" s="13"/>
      <c r="C38" s="13"/>
      <c r="D38" s="13"/>
      <c r="F38" s="13"/>
      <c r="G38" s="13"/>
      <c r="H38" s="13"/>
    </row>
    <row r="39" customFormat="false" ht="15" hidden="false" customHeight="false" outlineLevel="0" collapsed="false">
      <c r="B39" s="13"/>
      <c r="C39" s="13"/>
      <c r="D39" s="13"/>
      <c r="F39" s="13"/>
      <c r="G39" s="13"/>
      <c r="H39" s="13"/>
    </row>
    <row r="40" customFormat="false" ht="15" hidden="false" customHeight="false" outlineLevel="0" collapsed="false">
      <c r="B40" s="13"/>
      <c r="C40" s="13"/>
      <c r="D40" s="13"/>
      <c r="F40" s="13"/>
      <c r="G40" s="13"/>
      <c r="H40" s="13"/>
    </row>
    <row r="41" customFormat="false" ht="15" hidden="false" customHeight="false" outlineLevel="0" collapsed="false">
      <c r="B41" s="13"/>
      <c r="C41" s="13"/>
      <c r="D41" s="13"/>
      <c r="F41" s="13"/>
      <c r="G41" s="13"/>
      <c r="H41" s="13"/>
    </row>
    <row r="42" customFormat="false" ht="15" hidden="false" customHeight="false" outlineLevel="0" collapsed="false">
      <c r="B42" s="13"/>
      <c r="C42" s="13"/>
      <c r="D42" s="13"/>
      <c r="F42" s="13"/>
      <c r="G42" s="13"/>
      <c r="H42" s="13"/>
    </row>
    <row r="44" customFormat="false" ht="19.5" hidden="false" customHeight="true" outlineLevel="0" collapsed="false">
      <c r="A44" s="3" t="s">
        <v>66</v>
      </c>
      <c r="B44" s="3"/>
      <c r="C44" s="3"/>
      <c r="D44" s="3"/>
      <c r="E44" s="3"/>
      <c r="F44" s="3"/>
      <c r="G44" s="3"/>
      <c r="H44" s="3"/>
      <c r="I44" s="3"/>
      <c r="J44" s="3"/>
    </row>
    <row r="45" customFormat="false" ht="15" hidden="false" customHeight="false" outlineLevel="0" collapsed="false">
      <c r="B45" s="14" t="s">
        <v>67</v>
      </c>
      <c r="C45" s="15"/>
    </row>
    <row r="47" customFormat="false" ht="15" hidden="false" customHeight="true" outlineLevel="0" collapsed="false">
      <c r="B47" s="12" t="s">
        <v>68</v>
      </c>
      <c r="C47" s="12"/>
      <c r="D47" s="12"/>
      <c r="E47" s="12"/>
      <c r="F47" s="12"/>
      <c r="G47" s="12"/>
      <c r="H47" s="12"/>
      <c r="I47" s="12"/>
      <c r="J47" s="12"/>
    </row>
    <row r="48" customFormat="false" ht="15" hidden="false" customHeight="false" outlineLevel="0" collapsed="false">
      <c r="B48" s="16"/>
      <c r="C48" s="16"/>
      <c r="D48" s="16"/>
      <c r="E48" s="16"/>
      <c r="F48" s="16"/>
      <c r="G48" s="16"/>
      <c r="H48" s="16"/>
      <c r="I48" s="16"/>
      <c r="J48" s="16"/>
    </row>
    <row r="49" customFormat="false" ht="15" hidden="false" customHeight="false" outlineLevel="0" collapsed="false">
      <c r="B49" s="16"/>
      <c r="C49" s="16"/>
      <c r="D49" s="16"/>
      <c r="E49" s="16"/>
      <c r="F49" s="16"/>
      <c r="G49" s="16"/>
      <c r="H49" s="16"/>
      <c r="I49" s="16"/>
      <c r="J49" s="16"/>
    </row>
    <row r="50" customFormat="false" ht="15" hidden="false" customHeight="false" outlineLevel="0" collapsed="false">
      <c r="B50" s="16"/>
      <c r="C50" s="16"/>
      <c r="D50" s="16"/>
      <c r="E50" s="16"/>
      <c r="F50" s="16"/>
      <c r="G50" s="16"/>
      <c r="H50" s="16"/>
      <c r="I50" s="16"/>
      <c r="J50" s="16"/>
    </row>
    <row r="51" customFormat="false" ht="15" hidden="false" customHeight="false" outlineLevel="0" collapsed="false">
      <c r="B51" s="16"/>
      <c r="C51" s="16"/>
      <c r="D51" s="16"/>
      <c r="E51" s="16"/>
      <c r="F51" s="16"/>
      <c r="G51" s="16"/>
      <c r="H51" s="16"/>
      <c r="I51" s="16"/>
      <c r="J51" s="16"/>
    </row>
  </sheetData>
  <mergeCells count="14">
    <mergeCell ref="A1:J1"/>
    <mergeCell ref="A2:J2"/>
    <mergeCell ref="A4:J4"/>
    <mergeCell ref="B11:D11"/>
    <mergeCell ref="A13:J13"/>
    <mergeCell ref="A14:J14"/>
    <mergeCell ref="B16:D28"/>
    <mergeCell ref="F16:H28"/>
    <mergeCell ref="J16:L28"/>
    <mergeCell ref="B30:D42"/>
    <mergeCell ref="F30:H42"/>
    <mergeCell ref="A44:J44"/>
    <mergeCell ref="B47:J47"/>
    <mergeCell ref="B48:J51"/>
  </mergeCells>
  <dataValidations count="1">
    <dataValidation allowBlank="true" error="Pick one of the listed drivers." errorStyle="stop" errorTitle="Invalid driver" operator="between" showDropDown="false" showErrorMessage="false" showInputMessage="false" sqref="C45" type="list">
      <formula1>"Batches,Units (cases),Machine Hours,Direct Labor Hours,Raw Material (lbs)"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4" min="3" style="0" width="18"/>
    <col collapsed="false" customWidth="true" hidden="false" outlineLevel="0" max="5" min="5" style="0" width="5"/>
    <col collapsed="false" customWidth="true" hidden="false" outlineLevel="0" max="6" min="6" style="0" width="22"/>
    <col collapsed="false" customWidth="true" hidden="false" outlineLevel="0" max="9" min="7" style="0" width="18"/>
  </cols>
  <sheetData>
    <row r="1" customFormat="false" ht="25.5" hidden="false" customHeight="true" outlineLevel="0" collapsed="false">
      <c r="A1" s="1" t="s">
        <v>69</v>
      </c>
      <c r="B1" s="1"/>
      <c r="C1" s="1"/>
      <c r="D1" s="1"/>
      <c r="E1" s="1"/>
      <c r="F1" s="1"/>
      <c r="G1" s="1"/>
      <c r="H1" s="1"/>
    </row>
    <row r="2" customFormat="false" ht="42" hidden="false" customHeight="true" outlineLevel="0" collapsed="false">
      <c r="A2" s="4" t="s">
        <v>70</v>
      </c>
      <c r="B2" s="4"/>
      <c r="C2" s="4"/>
      <c r="D2" s="4"/>
      <c r="E2" s="4"/>
      <c r="F2" s="4"/>
      <c r="G2" s="4"/>
      <c r="H2" s="4"/>
    </row>
    <row r="4" customFormat="false" ht="19.5" hidden="false" customHeight="true" outlineLevel="0" collapsed="false">
      <c r="A4" s="3" t="s">
        <v>71</v>
      </c>
      <c r="B4" s="3"/>
      <c r="C4" s="3"/>
      <c r="D4" s="3"/>
      <c r="E4" s="3"/>
      <c r="F4" s="3"/>
      <c r="G4" s="3"/>
      <c r="H4" s="3"/>
    </row>
    <row r="5" customFormat="false" ht="15" hidden="false" customHeight="false" outlineLevel="0" collapsed="false">
      <c r="B5" s="14" t="s">
        <v>72</v>
      </c>
      <c r="C5" s="15"/>
      <c r="D5" s="17" t="s">
        <v>73</v>
      </c>
    </row>
    <row r="6" customFormat="false" ht="15" hidden="false" customHeight="false" outlineLevel="0" collapsed="false">
      <c r="B6" s="14" t="s">
        <v>74</v>
      </c>
      <c r="C6" s="7" t="s">
        <v>75</v>
      </c>
      <c r="D6" s="17" t="s">
        <v>76</v>
      </c>
    </row>
    <row r="8" customFormat="false" ht="26.85" hidden="false" customHeight="false" outlineLevel="0" collapsed="false">
      <c r="B8" s="18" t="s">
        <v>77</v>
      </c>
      <c r="C8" s="19"/>
    </row>
    <row r="9" customFormat="false" ht="26.85" hidden="false" customHeight="false" outlineLevel="0" collapsed="false">
      <c r="B9" s="18" t="s">
        <v>78</v>
      </c>
      <c r="C9" s="20"/>
    </row>
    <row r="10" customFormat="false" ht="26.85" hidden="false" customHeight="false" outlineLevel="0" collapsed="false">
      <c r="B10" s="18" t="s">
        <v>79</v>
      </c>
      <c r="C10" s="11"/>
    </row>
    <row r="12" customFormat="false" ht="15" hidden="false" customHeight="false" outlineLevel="0" collapsed="false">
      <c r="B12" s="14" t="s">
        <v>80</v>
      </c>
    </row>
    <row r="13" customFormat="false" ht="15" hidden="false" customHeight="true" outlineLevel="0" collapsed="false">
      <c r="B13" s="21" t="s">
        <v>81</v>
      </c>
      <c r="C13" s="21"/>
      <c r="D13" s="21"/>
      <c r="E13" s="21"/>
      <c r="F13" s="21"/>
      <c r="G13" s="21"/>
      <c r="H13" s="21"/>
    </row>
    <row r="15" customFormat="false" ht="30" hidden="false" customHeight="true" outlineLevel="0" collapsed="false">
      <c r="B15" s="12" t="s">
        <v>82</v>
      </c>
      <c r="C15" s="12"/>
      <c r="D15" s="12"/>
      <c r="E15" s="12"/>
      <c r="F15" s="12"/>
      <c r="G15" s="12"/>
      <c r="H15" s="12"/>
    </row>
    <row r="17" customFormat="false" ht="19.5" hidden="false" customHeight="true" outlineLevel="0" collapsed="false">
      <c r="A17" s="3" t="s">
        <v>83</v>
      </c>
      <c r="B17" s="3"/>
      <c r="C17" s="3"/>
      <c r="D17" s="3"/>
      <c r="E17" s="3"/>
      <c r="F17" s="3"/>
      <c r="G17" s="3"/>
      <c r="H17" s="3"/>
    </row>
    <row r="18" customFormat="false" ht="30" hidden="false" customHeight="true" outlineLevel="0" collapsed="false">
      <c r="A18" s="4" t="s">
        <v>84</v>
      </c>
      <c r="B18" s="4"/>
      <c r="C18" s="4"/>
      <c r="D18" s="4"/>
      <c r="E18" s="4"/>
      <c r="F18" s="4"/>
      <c r="G18" s="4"/>
      <c r="H18" s="4"/>
    </row>
    <row r="20" customFormat="false" ht="15" hidden="false" customHeight="false" outlineLevel="0" collapsed="false">
      <c r="B20" s="14"/>
      <c r="C20" s="6" t="s">
        <v>85</v>
      </c>
      <c r="D20" s="6" t="s">
        <v>86</v>
      </c>
    </row>
    <row r="21" customFormat="false" ht="15" hidden="false" customHeight="false" outlineLevel="0" collapsed="false">
      <c r="B21" s="14" t="s">
        <v>87</v>
      </c>
      <c r="C21" s="22"/>
      <c r="D21" s="23"/>
    </row>
    <row r="22" customFormat="false" ht="15" hidden="false" customHeight="false" outlineLevel="0" collapsed="false">
      <c r="B22" s="14" t="s">
        <v>88</v>
      </c>
      <c r="C22" s="22"/>
      <c r="D22" s="23"/>
    </row>
    <row r="24" customFormat="false" ht="15" hidden="false" customHeight="false" outlineLevel="0" collapsed="false">
      <c r="B24" s="14" t="s">
        <v>89</v>
      </c>
      <c r="C24" s="19"/>
    </row>
    <row r="25" customFormat="false" ht="15" hidden="false" customHeight="false" outlineLevel="0" collapsed="false">
      <c r="B25" s="14" t="s">
        <v>90</v>
      </c>
      <c r="C25" s="20"/>
    </row>
    <row r="27" customFormat="false" ht="43.5" hidden="false" customHeight="true" outlineLevel="0" collapsed="false">
      <c r="B27" s="12" t="s">
        <v>91</v>
      </c>
      <c r="C27" s="12"/>
      <c r="D27" s="12"/>
      <c r="E27" s="12"/>
      <c r="F27" s="12"/>
      <c r="G27" s="12"/>
      <c r="H27" s="12"/>
    </row>
    <row r="29" customFormat="false" ht="19.5" hidden="false" customHeight="true" outlineLevel="0" collapsed="false">
      <c r="A29" s="3" t="s">
        <v>92</v>
      </c>
      <c r="B29" s="3"/>
      <c r="C29" s="3"/>
      <c r="D29" s="3"/>
      <c r="E29" s="3"/>
      <c r="F29" s="3"/>
      <c r="G29" s="3"/>
      <c r="H29" s="3"/>
    </row>
    <row r="30" customFormat="false" ht="42" hidden="false" customHeight="true" outlineLevel="0" collapsed="false">
      <c r="A30" s="4" t="s">
        <v>93</v>
      </c>
      <c r="B30" s="4"/>
      <c r="C30" s="4"/>
      <c r="D30" s="4"/>
      <c r="E30" s="4"/>
      <c r="F30" s="4"/>
      <c r="G30" s="4"/>
      <c r="H30" s="4"/>
    </row>
    <row r="31" customFormat="false" ht="15" hidden="false" customHeight="false" outlineLevel="0" collapsed="false">
      <c r="B31" s="16"/>
      <c r="C31" s="16"/>
      <c r="D31" s="16"/>
      <c r="E31" s="16"/>
      <c r="F31" s="16"/>
      <c r="G31" s="16"/>
      <c r="H31" s="16"/>
    </row>
    <row r="32" customFormat="false" ht="15" hidden="false" customHeight="false" outlineLevel="0" collapsed="false">
      <c r="B32" s="16"/>
      <c r="C32" s="16"/>
      <c r="D32" s="16"/>
      <c r="E32" s="16"/>
      <c r="F32" s="16"/>
      <c r="G32" s="16"/>
      <c r="H32" s="16"/>
    </row>
    <row r="33" customFormat="false" ht="15" hidden="false" customHeight="false" outlineLevel="0" collapsed="false">
      <c r="B33" s="16"/>
      <c r="C33" s="16"/>
      <c r="D33" s="16"/>
      <c r="E33" s="16"/>
      <c r="F33" s="16"/>
      <c r="G33" s="16"/>
      <c r="H33" s="16"/>
    </row>
    <row r="34" customFormat="false" ht="15" hidden="false" customHeight="false" outlineLevel="0" collapsed="false">
      <c r="B34" s="16"/>
      <c r="C34" s="16"/>
      <c r="D34" s="16"/>
      <c r="E34" s="16"/>
      <c r="F34" s="16"/>
      <c r="G34" s="16"/>
      <c r="H34" s="16"/>
    </row>
  </sheetData>
  <mergeCells count="11">
    <mergeCell ref="A1:H1"/>
    <mergeCell ref="A2:H2"/>
    <mergeCell ref="A4:H4"/>
    <mergeCell ref="B13:H13"/>
    <mergeCell ref="B15:H15"/>
    <mergeCell ref="A17:H17"/>
    <mergeCell ref="A18:H18"/>
    <mergeCell ref="B27:H27"/>
    <mergeCell ref="A29:H29"/>
    <mergeCell ref="A30:H30"/>
    <mergeCell ref="B31:H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8"/>
    <col collapsed="false" customWidth="true" hidden="false" outlineLevel="0" max="4" min="4" style="0" width="22"/>
    <col collapsed="false" customWidth="true" hidden="false" outlineLevel="0" max="7" min="5" style="0" width="30"/>
  </cols>
  <sheetData>
    <row r="1" customFormat="false" ht="25.5" hidden="false" customHeight="true" outlineLevel="0" collapsed="false">
      <c r="A1" s="1" t="s">
        <v>94</v>
      </c>
      <c r="B1" s="1"/>
      <c r="C1" s="1"/>
      <c r="D1" s="1"/>
      <c r="E1" s="1"/>
      <c r="F1" s="1"/>
      <c r="G1" s="1"/>
    </row>
    <row r="2" customFormat="false" ht="42" hidden="false" customHeight="true" outlineLevel="0" collapsed="false">
      <c r="A2" s="4" t="s">
        <v>95</v>
      </c>
      <c r="B2" s="4"/>
      <c r="C2" s="4"/>
      <c r="D2" s="4"/>
      <c r="E2" s="4"/>
      <c r="F2" s="4"/>
      <c r="G2" s="4"/>
    </row>
    <row r="4" customFormat="false" ht="19.5" hidden="false" customHeight="true" outlineLevel="0" collapsed="false">
      <c r="A4" s="3" t="s">
        <v>96</v>
      </c>
      <c r="B4" s="3"/>
      <c r="C4" s="3"/>
      <c r="D4" s="3"/>
      <c r="E4" s="3"/>
      <c r="F4" s="3"/>
      <c r="G4" s="3"/>
    </row>
    <row r="5" customFormat="false" ht="15" hidden="false" customHeight="false" outlineLevel="0" collapsed="false">
      <c r="B5" s="6" t="s">
        <v>97</v>
      </c>
      <c r="C5" s="6" t="s">
        <v>98</v>
      </c>
    </row>
    <row r="6" customFormat="false" ht="15" hidden="false" customHeight="false" outlineLevel="0" collapsed="false">
      <c r="B6" s="7" t="n">
        <v>75</v>
      </c>
      <c r="C6" s="20"/>
    </row>
    <row r="7" customFormat="false" ht="15" hidden="false" customHeight="false" outlineLevel="0" collapsed="false">
      <c r="B7" s="7" t="n">
        <v>175</v>
      </c>
      <c r="C7" s="20"/>
    </row>
    <row r="8" customFormat="false" ht="15" hidden="false" customHeight="false" outlineLevel="0" collapsed="false">
      <c r="B8" s="7" t="n">
        <v>250</v>
      </c>
      <c r="C8" s="20"/>
    </row>
    <row r="10" customFormat="false" ht="30" hidden="false" customHeight="true" outlineLevel="0" collapsed="false">
      <c r="B10" s="12" t="s">
        <v>99</v>
      </c>
      <c r="C10" s="12"/>
      <c r="D10" s="12"/>
      <c r="E10" s="12"/>
      <c r="F10" s="12"/>
      <c r="G10" s="12"/>
    </row>
    <row r="12" customFormat="false" ht="19.5" hidden="false" customHeight="true" outlineLevel="0" collapsed="false">
      <c r="A12" s="3" t="s">
        <v>100</v>
      </c>
      <c r="B12" s="3"/>
      <c r="C12" s="3"/>
      <c r="D12" s="3"/>
      <c r="E12" s="3"/>
      <c r="F12" s="3"/>
      <c r="G12" s="3"/>
    </row>
    <row r="13" customFormat="false" ht="37.5" hidden="false" customHeight="true" outlineLevel="0" collapsed="false">
      <c r="A13" s="4" t="s">
        <v>101</v>
      </c>
      <c r="B13" s="4"/>
      <c r="C13" s="4"/>
      <c r="D13" s="4"/>
      <c r="E13" s="4"/>
      <c r="F13" s="4"/>
      <c r="G13" s="4"/>
    </row>
    <row r="14" customFormat="false" ht="15" hidden="false" customHeight="false" outlineLevel="0" collapsed="false">
      <c r="B14" s="16"/>
      <c r="C14" s="16"/>
      <c r="D14" s="16"/>
      <c r="E14" s="16"/>
      <c r="F14" s="16"/>
      <c r="G14" s="16"/>
    </row>
    <row r="15" customFormat="false" ht="15" hidden="false" customHeight="false" outlineLevel="0" collapsed="false">
      <c r="B15" s="16"/>
      <c r="C15" s="16"/>
      <c r="D15" s="16"/>
      <c r="E15" s="16"/>
      <c r="F15" s="16"/>
      <c r="G15" s="16"/>
    </row>
    <row r="16" customFormat="false" ht="15" hidden="false" customHeight="false" outlineLevel="0" collapsed="false">
      <c r="B16" s="16"/>
      <c r="C16" s="16"/>
      <c r="D16" s="16"/>
      <c r="E16" s="16"/>
      <c r="F16" s="16"/>
      <c r="G16" s="16"/>
    </row>
    <row r="17" customFormat="false" ht="15" hidden="false" customHeight="false" outlineLevel="0" collapsed="false">
      <c r="B17" s="16"/>
      <c r="C17" s="16"/>
      <c r="D17" s="16"/>
      <c r="E17" s="16"/>
      <c r="F17" s="16"/>
      <c r="G17" s="16"/>
    </row>
    <row r="18" customFormat="false" ht="15" hidden="false" customHeight="false" outlineLevel="0" collapsed="false">
      <c r="B18" s="16"/>
      <c r="C18" s="16"/>
      <c r="D18" s="16"/>
      <c r="E18" s="16"/>
      <c r="F18" s="16"/>
      <c r="G18" s="16"/>
    </row>
  </sheetData>
  <mergeCells count="7">
    <mergeCell ref="A1:G1"/>
    <mergeCell ref="A2:G2"/>
    <mergeCell ref="A4:G4"/>
    <mergeCell ref="B10:G10"/>
    <mergeCell ref="A12:G12"/>
    <mergeCell ref="A13:G13"/>
    <mergeCell ref="B14: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4" min="3" style="0" width="18"/>
    <col collapsed="false" customWidth="true" hidden="false" outlineLevel="0" max="5" min="5" style="0" width="5"/>
    <col collapsed="false" customWidth="true" hidden="false" outlineLevel="0" max="6" min="6" style="0" width="16"/>
    <col collapsed="false" customWidth="true" hidden="false" outlineLevel="0" max="8" min="7" style="0" width="18"/>
    <col collapsed="false" customWidth="true" hidden="false" outlineLevel="0" max="9" min="9" style="0" width="5"/>
    <col collapsed="false" customWidth="true" hidden="false" outlineLevel="0" max="11" min="10" style="0" width="16"/>
  </cols>
  <sheetData>
    <row r="1" customFormat="false" ht="25.5" hidden="false" customHeight="true" outlineLevel="0" collapsed="false">
      <c r="A1" s="1" t="s">
        <v>102</v>
      </c>
      <c r="B1" s="1"/>
      <c r="C1" s="1"/>
      <c r="D1" s="1"/>
      <c r="E1" s="1"/>
      <c r="F1" s="1"/>
      <c r="G1" s="1"/>
      <c r="H1" s="1"/>
      <c r="I1" s="1"/>
      <c r="J1" s="1"/>
    </row>
    <row r="2" customFormat="false" ht="55.5" hidden="false" customHeight="true" outlineLevel="0" collapsed="false">
      <c r="A2" s="4" t="s">
        <v>103</v>
      </c>
      <c r="B2" s="4"/>
      <c r="C2" s="4"/>
      <c r="D2" s="4"/>
      <c r="E2" s="4"/>
      <c r="F2" s="4"/>
      <c r="G2" s="4"/>
      <c r="H2" s="4"/>
      <c r="I2" s="4"/>
      <c r="J2" s="4"/>
    </row>
    <row r="4" customFormat="false" ht="19.5" hidden="false" customHeight="true" outlineLevel="0" collapsed="false">
      <c r="A4" s="3" t="s">
        <v>104</v>
      </c>
      <c r="B4" s="3"/>
      <c r="C4" s="3"/>
      <c r="D4" s="3"/>
      <c r="E4" s="3"/>
      <c r="F4" s="3"/>
      <c r="G4" s="3"/>
      <c r="H4" s="3"/>
      <c r="I4" s="3"/>
      <c r="J4" s="3"/>
    </row>
    <row r="5" customFormat="false" ht="15" hidden="false" customHeight="false" outlineLevel="0" collapsed="false">
      <c r="B5" s="14" t="s">
        <v>105</v>
      </c>
      <c r="C5" s="20"/>
    </row>
    <row r="6" customFormat="false" ht="15" hidden="false" customHeight="false" outlineLevel="0" collapsed="false">
      <c r="B6" s="14" t="s">
        <v>106</v>
      </c>
      <c r="C6" s="19"/>
    </row>
    <row r="8" customFormat="false" ht="19.5" hidden="false" customHeight="true" outlineLevel="0" collapsed="false">
      <c r="A8" s="3" t="s">
        <v>107</v>
      </c>
      <c r="B8" s="3"/>
      <c r="C8" s="3"/>
      <c r="D8" s="3"/>
      <c r="E8" s="3"/>
      <c r="F8" s="3"/>
      <c r="G8" s="3"/>
      <c r="H8" s="3"/>
      <c r="I8" s="3"/>
      <c r="J8" s="3"/>
    </row>
    <row r="9" customFormat="false" ht="37.5" hidden="false" customHeight="true" outlineLevel="0" collapsed="false">
      <c r="A9" s="4" t="s">
        <v>108</v>
      </c>
      <c r="B9" s="4"/>
      <c r="C9" s="4"/>
      <c r="D9" s="4"/>
      <c r="E9" s="4"/>
      <c r="F9" s="4"/>
      <c r="G9" s="4"/>
      <c r="H9" s="4"/>
      <c r="I9" s="4"/>
      <c r="J9" s="4"/>
    </row>
    <row r="10" customFormat="false" ht="18" hidden="false" customHeight="true" outlineLevel="0" collapsed="false">
      <c r="B10" s="4" t="s">
        <v>109</v>
      </c>
      <c r="C10" s="4"/>
      <c r="D10" s="4"/>
      <c r="E10" s="4"/>
      <c r="F10" s="4"/>
      <c r="G10" s="4"/>
      <c r="H10" s="4"/>
      <c r="I10" s="4"/>
      <c r="J10" s="4"/>
    </row>
    <row r="11" customFormat="false" ht="18" hidden="false" customHeight="true" outlineLevel="0" collapsed="false">
      <c r="B11" s="4" t="s">
        <v>110</v>
      </c>
      <c r="C11" s="4"/>
      <c r="D11" s="4"/>
      <c r="E11" s="4"/>
      <c r="F11" s="4"/>
      <c r="G11" s="4"/>
      <c r="H11" s="4"/>
      <c r="I11" s="4"/>
      <c r="J11" s="4"/>
    </row>
    <row r="12" customFormat="false" ht="18" hidden="false" customHeight="true" outlineLevel="0" collapsed="false">
      <c r="B12" s="4" t="s">
        <v>111</v>
      </c>
      <c r="C12" s="4"/>
      <c r="D12" s="4"/>
      <c r="E12" s="4"/>
      <c r="F12" s="4"/>
      <c r="G12" s="4"/>
      <c r="H12" s="4"/>
      <c r="I12" s="4"/>
      <c r="J12" s="4"/>
    </row>
    <row r="13" customFormat="false" ht="18" hidden="false" customHeight="true" outlineLevel="0" collapsed="false">
      <c r="B13" s="4" t="s">
        <v>112</v>
      </c>
      <c r="C13" s="4"/>
      <c r="D13" s="4"/>
      <c r="E13" s="4"/>
      <c r="F13" s="4"/>
      <c r="G13" s="4"/>
      <c r="H13" s="4"/>
      <c r="I13" s="4"/>
      <c r="J13" s="4"/>
    </row>
    <row r="14" customFormat="false" ht="18" hidden="false" customHeight="true" outlineLevel="0" collapsed="false">
      <c r="B14" s="4" t="s">
        <v>113</v>
      </c>
      <c r="C14" s="4"/>
      <c r="D14" s="4"/>
      <c r="E14" s="4"/>
      <c r="F14" s="4"/>
      <c r="G14" s="4"/>
      <c r="H14" s="4"/>
      <c r="I14" s="4"/>
      <c r="J14" s="4"/>
    </row>
    <row r="16" customFormat="false" ht="15" hidden="false" customHeight="false" outlineLevel="0" collapsed="false">
      <c r="B16" s="6" t="s">
        <v>97</v>
      </c>
      <c r="C16" s="6" t="s">
        <v>114</v>
      </c>
      <c r="D16" s="6" t="s">
        <v>115</v>
      </c>
    </row>
    <row r="17" customFormat="false" ht="15" hidden="false" customHeight="false" outlineLevel="0" collapsed="false">
      <c r="B17" s="7" t="n">
        <v>125</v>
      </c>
      <c r="C17" s="23"/>
      <c r="D17" s="23"/>
    </row>
    <row r="18" customFormat="false" ht="15" hidden="false" customHeight="false" outlineLevel="0" collapsed="false">
      <c r="B18" s="7" t="n">
        <v>150</v>
      </c>
      <c r="C18" s="23"/>
      <c r="D18" s="23"/>
    </row>
    <row r="19" customFormat="false" ht="15" hidden="false" customHeight="false" outlineLevel="0" collapsed="false">
      <c r="B19" s="7" t="n">
        <v>175</v>
      </c>
      <c r="C19" s="23"/>
      <c r="D19" s="23"/>
    </row>
    <row r="20" customFormat="false" ht="15" hidden="false" customHeight="false" outlineLevel="0" collapsed="false">
      <c r="B20" s="7" t="n">
        <v>200</v>
      </c>
      <c r="C20" s="23"/>
      <c r="D20" s="23"/>
    </row>
    <row r="21" customFormat="false" ht="15" hidden="false" customHeight="false" outlineLevel="0" collapsed="false">
      <c r="B21" s="7" t="n">
        <v>225</v>
      </c>
      <c r="C21" s="23"/>
      <c r="D21" s="23"/>
    </row>
    <row r="22" customFormat="false" ht="15" hidden="false" customHeight="false" outlineLevel="0" collapsed="false">
      <c r="B22" s="7" t="n">
        <v>250</v>
      </c>
      <c r="C22" s="23"/>
      <c r="D22" s="23"/>
    </row>
    <row r="23" customFormat="false" ht="15" hidden="false" customHeight="false" outlineLevel="0" collapsed="false">
      <c r="B23" s="7" t="n">
        <v>275</v>
      </c>
      <c r="C23" s="23"/>
      <c r="D23" s="23"/>
    </row>
    <row r="24" customFormat="false" ht="15" hidden="false" customHeight="false" outlineLevel="0" collapsed="false">
      <c r="B24" s="7" t="n">
        <v>300</v>
      </c>
      <c r="C24" s="23"/>
      <c r="D24" s="23"/>
    </row>
    <row r="27" customFormat="false" ht="19.5" hidden="false" customHeight="true" outlineLevel="0" collapsed="false">
      <c r="A27" s="3" t="s">
        <v>116</v>
      </c>
      <c r="B27" s="3"/>
      <c r="C27" s="3"/>
      <c r="D27" s="3"/>
      <c r="E27" s="3"/>
      <c r="F27" s="3"/>
      <c r="G27" s="3"/>
      <c r="H27" s="3"/>
      <c r="I27" s="3"/>
      <c r="J27" s="3"/>
    </row>
    <row r="28" customFormat="false" ht="42" hidden="false" customHeight="true" outlineLevel="0" collapsed="false">
      <c r="A28" s="4" t="s">
        <v>117</v>
      </c>
      <c r="B28" s="4"/>
      <c r="C28" s="4"/>
      <c r="D28" s="4"/>
      <c r="E28" s="4"/>
      <c r="F28" s="4"/>
      <c r="G28" s="4"/>
      <c r="H28" s="4"/>
      <c r="I28" s="4"/>
      <c r="J28" s="4"/>
    </row>
    <row r="30" customFormat="false" ht="15" hidden="false" customHeight="false" outlineLevel="0" collapsed="false">
      <c r="B30" s="18" t="s">
        <v>118</v>
      </c>
      <c r="C30" s="24"/>
    </row>
    <row r="31" customFormat="false" ht="26.85" hidden="false" customHeight="false" outlineLevel="0" collapsed="false">
      <c r="B31" s="18" t="s">
        <v>119</v>
      </c>
      <c r="C31" s="20"/>
    </row>
    <row r="34" customFormat="false" ht="19.5" hidden="false" customHeight="true" outlineLevel="0" collapsed="false">
      <c r="A34" s="3" t="s">
        <v>120</v>
      </c>
      <c r="B34" s="3"/>
      <c r="C34" s="3"/>
      <c r="D34" s="3"/>
      <c r="E34" s="3"/>
      <c r="F34" s="3"/>
      <c r="G34" s="3"/>
      <c r="H34" s="3"/>
      <c r="I34" s="3"/>
      <c r="J34" s="3"/>
    </row>
    <row r="35" customFormat="false" ht="25.5" hidden="false" customHeight="true" outlineLevel="0" collapsed="false">
      <c r="A35" s="4" t="s">
        <v>121</v>
      </c>
      <c r="B35" s="4"/>
      <c r="C35" s="4"/>
      <c r="D35" s="4"/>
      <c r="E35" s="4"/>
      <c r="F35" s="4"/>
      <c r="G35" s="4"/>
      <c r="H35" s="4"/>
      <c r="I35" s="4"/>
      <c r="J35" s="4"/>
    </row>
    <row r="37" customFormat="false" ht="15" hidden="false" customHeight="false" outlineLevel="0" collapsed="false">
      <c r="B37" s="18" t="s">
        <v>122</v>
      </c>
      <c r="C37" s="20"/>
    </row>
    <row r="38" customFormat="false" ht="15" hidden="false" customHeight="false" outlineLevel="0" collapsed="false">
      <c r="B38" s="18" t="s">
        <v>123</v>
      </c>
      <c r="C38" s="20"/>
    </row>
    <row r="39" customFormat="false" ht="15" hidden="false" customHeight="false" outlineLevel="0" collapsed="false">
      <c r="B39" s="18" t="s">
        <v>124</v>
      </c>
      <c r="C39" s="25"/>
    </row>
    <row r="41" customFormat="false" ht="30" hidden="false" customHeight="true" outlineLevel="0" collapsed="false">
      <c r="A41" s="4" t="s">
        <v>125</v>
      </c>
      <c r="B41" s="4"/>
      <c r="C41" s="4"/>
      <c r="D41" s="4"/>
      <c r="E41" s="4"/>
      <c r="F41" s="4"/>
      <c r="G41" s="4"/>
      <c r="H41" s="4"/>
      <c r="I41" s="4"/>
      <c r="J41" s="4"/>
    </row>
    <row r="42" customFormat="false" ht="15" hidden="false" customHeight="false" outlineLevel="0" collapsed="false">
      <c r="B42" s="16"/>
      <c r="C42" s="16"/>
      <c r="D42" s="16"/>
      <c r="E42" s="16"/>
      <c r="F42" s="16"/>
      <c r="G42" s="16"/>
      <c r="H42" s="16"/>
      <c r="I42" s="16"/>
      <c r="J42" s="16"/>
    </row>
    <row r="43" customFormat="false" ht="15" hidden="false" customHeight="false" outlineLevel="0" collapsed="false">
      <c r="B43" s="16"/>
      <c r="C43" s="16"/>
      <c r="D43" s="16"/>
      <c r="E43" s="16"/>
      <c r="F43" s="16"/>
      <c r="G43" s="16"/>
      <c r="H43" s="16"/>
      <c r="I43" s="16"/>
      <c r="J43" s="16"/>
    </row>
    <row r="44" customFormat="false" ht="15" hidden="false" customHeight="false" outlineLevel="0" collapsed="false">
      <c r="B44" s="16"/>
      <c r="C44" s="16"/>
      <c r="D44" s="16"/>
      <c r="E44" s="16"/>
      <c r="F44" s="16"/>
      <c r="G44" s="16"/>
      <c r="H44" s="16"/>
      <c r="I44" s="16"/>
      <c r="J44" s="16"/>
    </row>
    <row r="45" customFormat="false" ht="15" hidden="false" customHeight="false" outlineLevel="0" collapsed="false">
      <c r="B45" s="16"/>
      <c r="C45" s="16"/>
      <c r="D45" s="16"/>
      <c r="E45" s="16"/>
      <c r="F45" s="16"/>
      <c r="G45" s="16"/>
      <c r="H45" s="16"/>
      <c r="I45" s="16"/>
      <c r="J45" s="16"/>
    </row>
  </sheetData>
  <mergeCells count="16">
    <mergeCell ref="A1:J1"/>
    <mergeCell ref="A2:J2"/>
    <mergeCell ref="A4:J4"/>
    <mergeCell ref="A8:J8"/>
    <mergeCell ref="A9:J9"/>
    <mergeCell ref="B10:J10"/>
    <mergeCell ref="B11:J11"/>
    <mergeCell ref="B12:J12"/>
    <mergeCell ref="B13:J13"/>
    <mergeCell ref="B14:J14"/>
    <mergeCell ref="A27:J27"/>
    <mergeCell ref="A28:J28"/>
    <mergeCell ref="A34:J34"/>
    <mergeCell ref="A35:J35"/>
    <mergeCell ref="A41:J41"/>
    <mergeCell ref="B42:J45"/>
  </mergeCells>
  <dataValidations count="1">
    <dataValidation allowBlank="true" errorStyle="stop" operator="between" showDropDown="false" showErrorMessage="false" showInputMessage="false" sqref="C39" type="list">
      <formula1>"Current,Expanded"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50"/>
    <col collapsed="false" customWidth="true" hidden="false" outlineLevel="0" max="4" min="4" style="0" width="24"/>
    <col collapsed="false" customWidth="true" hidden="false" outlineLevel="0" max="5" min="5" style="0" width="10"/>
  </cols>
  <sheetData>
    <row r="1" customFormat="false" ht="25.5" hidden="false" customHeight="true" outlineLevel="0" collapsed="false">
      <c r="A1" s="1" t="s">
        <v>126</v>
      </c>
      <c r="B1" s="1"/>
      <c r="C1" s="1"/>
      <c r="D1" s="1"/>
    </row>
    <row r="2" customFormat="false" ht="55.5" hidden="false" customHeight="true" outlineLevel="0" collapsed="false">
      <c r="A2" s="4" t="s">
        <v>127</v>
      </c>
      <c r="B2" s="4"/>
      <c r="C2" s="4"/>
      <c r="D2" s="4"/>
    </row>
    <row r="4" customFormat="false" ht="15" hidden="false" customHeight="false" outlineLevel="0" collapsed="false">
      <c r="B4" s="6" t="s">
        <v>128</v>
      </c>
      <c r="C4" s="6" t="s">
        <v>129</v>
      </c>
      <c r="D4" s="6" t="s">
        <v>130</v>
      </c>
      <c r="E4" s="6" t="s">
        <v>131</v>
      </c>
    </row>
    <row r="5" customFormat="false" ht="15" hidden="false" customHeight="false" outlineLevel="0" collapsed="false">
      <c r="B5" s="26" t="s">
        <v>132</v>
      </c>
      <c r="C5" s="10" t="s">
        <v>133</v>
      </c>
      <c r="D5" s="27" t="str">
        <f aca="false">'ANSWER KEY'!D5</f>
        <v>Batches</v>
      </c>
      <c r="E5" s="7" t="n">
        <v>10</v>
      </c>
    </row>
    <row r="6" customFormat="false" ht="15" hidden="false" customHeight="false" outlineLevel="0" collapsed="false">
      <c r="B6" s="26" t="s">
        <v>134</v>
      </c>
      <c r="C6" s="10" t="s">
        <v>135</v>
      </c>
      <c r="D6" s="28" t="n">
        <f aca="false">'ANSWER KEY'!D6</f>
        <v>0.950374134308407</v>
      </c>
      <c r="E6" s="7" t="n">
        <v>5</v>
      </c>
    </row>
    <row r="7" customFormat="false" ht="15" hidden="false" customHeight="false" outlineLevel="0" collapsed="false">
      <c r="B7" s="26" t="s">
        <v>136</v>
      </c>
      <c r="C7" s="10" t="s">
        <v>137</v>
      </c>
      <c r="D7" s="29" t="n">
        <f aca="false">'ANSWER KEY'!D7</f>
        <v>203.289507411085</v>
      </c>
      <c r="E7" s="7" t="n">
        <v>8</v>
      </c>
    </row>
    <row r="8" customFormat="false" ht="15" hidden="false" customHeight="false" outlineLevel="0" collapsed="false">
      <c r="B8" s="26" t="s">
        <v>138</v>
      </c>
      <c r="C8" s="10" t="s">
        <v>139</v>
      </c>
      <c r="D8" s="30" t="n">
        <f aca="false">'ANSWER KEY'!D8</f>
        <v>19478.8589321249</v>
      </c>
      <c r="E8" s="7" t="n">
        <v>8</v>
      </c>
    </row>
    <row r="9" customFormat="false" ht="15" hidden="false" customHeight="false" outlineLevel="0" collapsed="false">
      <c r="B9" s="26" t="s">
        <v>140</v>
      </c>
      <c r="C9" s="10" t="s">
        <v>141</v>
      </c>
      <c r="D9" s="28" t="n">
        <f aca="false">'ANSWER KEY'!D9</f>
        <v>0.903210995162453</v>
      </c>
      <c r="E9" s="7" t="n">
        <v>5</v>
      </c>
    </row>
    <row r="10" customFormat="false" ht="15" hidden="false" customHeight="false" outlineLevel="0" collapsed="false">
      <c r="B10" s="26" t="s">
        <v>142</v>
      </c>
      <c r="C10" s="10" t="s">
        <v>143</v>
      </c>
      <c r="D10" s="29" t="n">
        <f aca="false">'ANSWER KEY'!D10</f>
        <v>201.013071895425</v>
      </c>
      <c r="E10" s="7" t="n">
        <v>5</v>
      </c>
    </row>
    <row r="11" customFormat="false" ht="15" hidden="false" customHeight="false" outlineLevel="0" collapsed="false">
      <c r="B11" s="26" t="s">
        <v>144</v>
      </c>
      <c r="C11" s="10" t="s">
        <v>145</v>
      </c>
      <c r="D11" s="30" t="n">
        <f aca="false">'ANSWER KEY'!D11</f>
        <v>22964.5424836601</v>
      </c>
      <c r="E11" s="7" t="n">
        <v>5</v>
      </c>
    </row>
    <row r="12" customFormat="false" ht="15" hidden="false" customHeight="false" outlineLevel="0" collapsed="false">
      <c r="B12" s="26" t="s">
        <v>146</v>
      </c>
      <c r="C12" s="10" t="s">
        <v>147</v>
      </c>
      <c r="D12" s="30" t="n">
        <f aca="false">'ANSWER KEY'!D12</f>
        <v>34725.5719879562</v>
      </c>
      <c r="E12" s="7" t="n">
        <v>5</v>
      </c>
    </row>
    <row r="13" customFormat="false" ht="15" hidden="false" customHeight="false" outlineLevel="0" collapsed="false">
      <c r="B13" s="26" t="s">
        <v>148</v>
      </c>
      <c r="C13" s="10" t="s">
        <v>149</v>
      </c>
      <c r="D13" s="30" t="n">
        <f aca="false">'ANSWER KEY'!D13</f>
        <v>55054.5227290647</v>
      </c>
      <c r="E13" s="7" t="n">
        <v>5</v>
      </c>
    </row>
    <row r="14" customFormat="false" ht="15" hidden="false" customHeight="false" outlineLevel="0" collapsed="false">
      <c r="B14" s="26" t="s">
        <v>150</v>
      </c>
      <c r="C14" s="10" t="s">
        <v>151</v>
      </c>
      <c r="D14" s="30" t="n">
        <f aca="false">'ANSWER KEY'!D14</f>
        <v>70301.2357848961</v>
      </c>
      <c r="E14" s="7" t="n">
        <v>5</v>
      </c>
    </row>
    <row r="15" customFormat="false" ht="15" hidden="false" customHeight="false" outlineLevel="0" collapsed="false">
      <c r="B15" s="26" t="s">
        <v>152</v>
      </c>
      <c r="C15" s="10" t="s">
        <v>153</v>
      </c>
      <c r="D15" s="30" t="n">
        <f aca="false">'ANSWER KEY'!D15</f>
        <v>23374.6307185498</v>
      </c>
      <c r="E15" s="7" t="n">
        <v>5</v>
      </c>
    </row>
    <row r="16" customFormat="false" ht="15" hidden="false" customHeight="false" outlineLevel="0" collapsed="false">
      <c r="B16" s="26" t="s">
        <v>154</v>
      </c>
      <c r="C16" s="10" t="s">
        <v>155</v>
      </c>
      <c r="D16" s="29" t="n">
        <f aca="false">'ANSWER KEY'!D16</f>
        <v>182.960556669977</v>
      </c>
      <c r="E16" s="7" t="n">
        <v>5</v>
      </c>
    </row>
    <row r="17" customFormat="false" ht="15" hidden="false" customHeight="false" outlineLevel="0" collapsed="false">
      <c r="B17" s="26" t="s">
        <v>156</v>
      </c>
      <c r="C17" s="10" t="s">
        <v>157</v>
      </c>
      <c r="D17" s="31" t="n">
        <f aca="false">'ANSWER KEY'!D17</f>
        <v>191.63663860659</v>
      </c>
      <c r="E17" s="7" t="n">
        <v>14</v>
      </c>
    </row>
    <row r="18" customFormat="false" ht="15" hidden="false" customHeight="false" outlineLevel="0" collapsed="false">
      <c r="B18" s="26" t="s">
        <v>158</v>
      </c>
      <c r="C18" s="10" t="s">
        <v>159</v>
      </c>
      <c r="D18" s="30" t="n">
        <f aca="false">'ANSWER KEY'!D18</f>
        <v>58436.5767963746</v>
      </c>
      <c r="E18" s="7" t="n">
        <v>8</v>
      </c>
    </row>
    <row r="19" customFormat="false" ht="15" hidden="false" customHeight="false" outlineLevel="0" collapsed="false">
      <c r="B19" s="26" t="s">
        <v>160</v>
      </c>
      <c r="C19" s="10" t="s">
        <v>161</v>
      </c>
      <c r="D19" s="27" t="str">
        <f aca="false">'ANSWER KEY'!D19</f>
        <v>Expanded</v>
      </c>
      <c r="E19" s="7" t="n">
        <v>7</v>
      </c>
    </row>
    <row r="21" customFormat="false" ht="15" hidden="false" customHeight="false" outlineLevel="0" collapsed="false">
      <c r="C21" s="32" t="s">
        <v>162</v>
      </c>
      <c r="E21" s="26" t="n">
        <f aca="false">SUM(E5:E19)</f>
        <v>100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2744"/>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50"/>
    <col collapsed="false" customWidth="true" hidden="false" outlineLevel="0" max="5" min="4" style="0" width="22"/>
  </cols>
  <sheetData>
    <row r="1" customFormat="false" ht="25.5" hidden="false" customHeight="true" outlineLevel="0" collapsed="false">
      <c r="A1" s="2" t="s">
        <v>163</v>
      </c>
      <c r="B1" s="2"/>
      <c r="C1" s="2"/>
      <c r="D1" s="2"/>
    </row>
    <row r="2" customFormat="false" ht="31.5" hidden="false" customHeight="true" outlineLevel="0" collapsed="false">
      <c r="A2" s="12" t="s">
        <v>164</v>
      </c>
      <c r="B2" s="12"/>
      <c r="C2" s="12"/>
      <c r="D2" s="12"/>
    </row>
    <row r="4" customFormat="false" ht="15" hidden="false" customHeight="false" outlineLevel="0" collapsed="false">
      <c r="B4" s="6" t="s">
        <v>128</v>
      </c>
      <c r="C4" s="6" t="s">
        <v>129</v>
      </c>
      <c r="D4" s="6" t="s">
        <v>165</v>
      </c>
      <c r="E4" s="6" t="s">
        <v>166</v>
      </c>
    </row>
    <row r="5" customFormat="false" ht="15" hidden="false" customHeight="false" outlineLevel="0" collapsed="false">
      <c r="B5" s="26" t="s">
        <v>132</v>
      </c>
      <c r="C5" s="10" t="s">
        <v>133</v>
      </c>
      <c r="D5" s="33" t="s">
        <v>21</v>
      </c>
      <c r="E5" s="34" t="s">
        <v>167</v>
      </c>
    </row>
    <row r="6" customFormat="false" ht="15" hidden="false" customHeight="false" outlineLevel="0" collapsed="false">
      <c r="B6" s="26" t="s">
        <v>134</v>
      </c>
      <c r="C6" s="10" t="s">
        <v>135</v>
      </c>
      <c r="D6" s="35" t="n">
        <f aca="false">CORREL(Data!B4:B27,Data!G4:G27)</f>
        <v>0.950374134308407</v>
      </c>
      <c r="E6" s="34" t="s">
        <v>168</v>
      </c>
    </row>
    <row r="7" customFormat="false" ht="15" hidden="false" customHeight="false" outlineLevel="0" collapsed="false">
      <c r="B7" s="26" t="s">
        <v>136</v>
      </c>
      <c r="C7" s="10" t="s">
        <v>137</v>
      </c>
      <c r="D7" s="36" t="n">
        <f aca="false">SLOPE(Data!G4:G27,Data!B4:B27)</f>
        <v>203.289507411085</v>
      </c>
      <c r="E7" s="34" t="s">
        <v>169</v>
      </c>
    </row>
    <row r="8" customFormat="false" ht="15" hidden="false" customHeight="false" outlineLevel="0" collapsed="false">
      <c r="B8" s="26" t="s">
        <v>138</v>
      </c>
      <c r="C8" s="10" t="s">
        <v>139</v>
      </c>
      <c r="D8" s="37" t="n">
        <f aca="false">INTERCEPT(Data!G4:G27,Data!B4:B27)</f>
        <v>19478.8589321249</v>
      </c>
      <c r="E8" s="34" t="s">
        <v>170</v>
      </c>
    </row>
    <row r="9" customFormat="false" ht="15" hidden="false" customHeight="false" outlineLevel="0" collapsed="false">
      <c r="B9" s="26" t="s">
        <v>140</v>
      </c>
      <c r="C9" s="10" t="s">
        <v>141</v>
      </c>
      <c r="D9" s="35" t="n">
        <f aca="false">RSQ(Data!G4:G27,Data!B4:B27)</f>
        <v>0.903210995162453</v>
      </c>
      <c r="E9" s="34" t="s">
        <v>168</v>
      </c>
    </row>
    <row r="10" customFormat="false" ht="15" hidden="false" customHeight="false" outlineLevel="0" collapsed="false">
      <c r="B10" s="26" t="s">
        <v>142</v>
      </c>
      <c r="C10" s="10" t="s">
        <v>143</v>
      </c>
      <c r="D10" s="36" t="n">
        <f aca="false">(INDEX(Data!G4:G27,MATCH(MAX(Data!B4:B27),Data!B4:B27,0))-INDEX(Data!G4:G27,MATCH(MIN(Data!B4:B27),Data!B4:B27,0)))/(MAX(Data!B4:B27)-MIN(Data!B4:B27))</f>
        <v>201.013071895425</v>
      </c>
      <c r="E10" s="34" t="s">
        <v>169</v>
      </c>
    </row>
    <row r="11" customFormat="false" ht="15" hidden="false" customHeight="false" outlineLevel="0" collapsed="false">
      <c r="B11" s="26" t="s">
        <v>144</v>
      </c>
      <c r="C11" s="10" t="s">
        <v>145</v>
      </c>
      <c r="D11" s="37" t="n">
        <f aca="false">INDEX(Data!G4:G27,MATCH(MAX(Data!B4:B27),Data!B4:B27,0))-((INDEX(Data!G4:G27,MATCH(MAX(Data!B4:B27),Data!B4:B27,0))-INDEX(Data!G4:G27,MATCH(MIN(Data!B4:B27),Data!B4:B27,0)))/(MAX(Data!B4:B27)-MIN(Data!B4:B27)))*MAX(Data!B4:B27)</f>
        <v>22964.5424836601</v>
      </c>
      <c r="E11" s="34" t="s">
        <v>170</v>
      </c>
    </row>
    <row r="12" customFormat="false" ht="15" hidden="false" customHeight="false" outlineLevel="0" collapsed="false">
      <c r="B12" s="26" t="s">
        <v>146</v>
      </c>
      <c r="C12" s="10" t="s">
        <v>147</v>
      </c>
      <c r="D12" s="37" t="n">
        <f aca="false">INTERCEPT(Data!G4:G27,Data!B4:B27)+SLOPE(Data!G4:G27,Data!B4:B27)*75</f>
        <v>34725.5719879562</v>
      </c>
      <c r="E12" s="34" t="s">
        <v>170</v>
      </c>
    </row>
    <row r="13" customFormat="false" ht="15" hidden="false" customHeight="false" outlineLevel="0" collapsed="false">
      <c r="B13" s="26" t="s">
        <v>148</v>
      </c>
      <c r="C13" s="10" t="s">
        <v>149</v>
      </c>
      <c r="D13" s="37" t="n">
        <f aca="false">INTERCEPT(Data!G4:G27,Data!B4:B27)+SLOPE(Data!G4:G27,Data!B4:B27)*175</f>
        <v>55054.5227290647</v>
      </c>
      <c r="E13" s="34" t="s">
        <v>170</v>
      </c>
    </row>
    <row r="14" customFormat="false" ht="15" hidden="false" customHeight="false" outlineLevel="0" collapsed="false">
      <c r="B14" s="26" t="s">
        <v>150</v>
      </c>
      <c r="C14" s="10" t="s">
        <v>151</v>
      </c>
      <c r="D14" s="37" t="n">
        <f aca="false">INTERCEPT(Data!G4:G27,Data!B4:B27)+SLOPE(Data!G4:G27,Data!B4:B27)*250</f>
        <v>70301.2357848961</v>
      </c>
      <c r="E14" s="34" t="s">
        <v>170</v>
      </c>
    </row>
    <row r="15" customFormat="false" ht="15" hidden="false" customHeight="false" outlineLevel="0" collapsed="false">
      <c r="B15" s="26" t="s">
        <v>152</v>
      </c>
      <c r="C15" s="10" t="s">
        <v>153</v>
      </c>
      <c r="D15" s="37" t="n">
        <f aca="false">1.2*INTERCEPT(Data!G4:G27,Data!B4:B27)</f>
        <v>23374.6307185498</v>
      </c>
      <c r="E15" s="34" t="s">
        <v>170</v>
      </c>
    </row>
    <row r="16" customFormat="false" ht="15" hidden="false" customHeight="false" outlineLevel="0" collapsed="false">
      <c r="B16" s="26" t="s">
        <v>154</v>
      </c>
      <c r="C16" s="10" t="s">
        <v>155</v>
      </c>
      <c r="D16" s="36" t="n">
        <f aca="false">0.9*SLOPE(Data!G4:G27,Data!B4:B27)</f>
        <v>182.960556669977</v>
      </c>
      <c r="E16" s="34" t="s">
        <v>169</v>
      </c>
    </row>
    <row r="17" customFormat="false" ht="15" hidden="false" customHeight="false" outlineLevel="0" collapsed="false">
      <c r="B17" s="26" t="s">
        <v>156</v>
      </c>
      <c r="C17" s="10" t="s">
        <v>157</v>
      </c>
      <c r="D17" s="38" t="n">
        <f aca="false">(1.2*INTERCEPT(Data!G4:G27,Data!B4:B27)-INTERCEPT(Data!G4:G27,Data!B4:B27))/(SLOPE(Data!G4:G27,Data!B4:B27)-0.9*SLOPE(Data!G4:G27,Data!B4:B27))</f>
        <v>191.63663860659</v>
      </c>
      <c r="E17" s="34" t="s">
        <v>171</v>
      </c>
    </row>
    <row r="18" customFormat="false" ht="15" hidden="false" customHeight="false" outlineLevel="0" collapsed="false">
      <c r="B18" s="26" t="s">
        <v>158</v>
      </c>
      <c r="C18" s="10" t="s">
        <v>159</v>
      </c>
      <c r="D18" s="37" t="n">
        <f aca="false">INTERCEPT(Data!G4:G27,Data!B4:B27)+SLOPE(Data!G4:G27,Data!B4:B27)*((1.2*INTERCEPT(Data!G4:G27,Data!B4:B27)-INTERCEPT(Data!G4:G27,Data!B4:B27))/(SLOPE(Data!G4:G27,Data!B4:B27)-0.9*SLOPE(Data!G4:G27,Data!B4:B27)))</f>
        <v>58436.5767963746</v>
      </c>
      <c r="E18" s="34" t="s">
        <v>170</v>
      </c>
    </row>
    <row r="19" customFormat="false" ht="15" hidden="false" customHeight="false" outlineLevel="0" collapsed="false">
      <c r="B19" s="26" t="s">
        <v>160</v>
      </c>
      <c r="C19" s="10" t="s">
        <v>161</v>
      </c>
      <c r="D19" s="33" t="s">
        <v>172</v>
      </c>
      <c r="E19" s="34" t="s">
        <v>167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5A30"/>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38"/>
    <col collapsed="false" customWidth="true" hidden="false" outlineLevel="0" max="5" min="4" style="0" width="18"/>
    <col collapsed="false" customWidth="true" hidden="false" outlineLevel="0" max="6" min="6" style="0" width="14"/>
    <col collapsed="false" customWidth="true" hidden="false" outlineLevel="0" max="8" min="7" style="0" width="12"/>
  </cols>
  <sheetData>
    <row r="1" customFormat="false" ht="25.5" hidden="false" customHeight="true" outlineLevel="0" collapsed="false">
      <c r="A1" s="2" t="s">
        <v>173</v>
      </c>
      <c r="B1" s="2"/>
      <c r="C1" s="2"/>
      <c r="D1" s="2"/>
      <c r="E1" s="2"/>
      <c r="F1" s="2"/>
      <c r="G1" s="2"/>
    </row>
    <row r="2" customFormat="false" ht="31.5" hidden="false" customHeight="true" outlineLevel="0" collapsed="false">
      <c r="A2" s="12" t="s">
        <v>174</v>
      </c>
      <c r="B2" s="12"/>
      <c r="C2" s="12"/>
      <c r="D2" s="12"/>
      <c r="E2" s="12"/>
      <c r="F2" s="12"/>
      <c r="G2" s="12"/>
    </row>
    <row r="4" customFormat="false" ht="15" hidden="false" customHeight="false" outlineLevel="0" collapsed="false">
      <c r="B4" s="6" t="s">
        <v>128</v>
      </c>
      <c r="C4" s="6" t="s">
        <v>129</v>
      </c>
      <c r="D4" s="6" t="s">
        <v>175</v>
      </c>
      <c r="E4" s="6" t="s">
        <v>176</v>
      </c>
      <c r="F4" s="6" t="s">
        <v>177</v>
      </c>
      <c r="G4" s="6" t="s">
        <v>178</v>
      </c>
      <c r="H4" s="6" t="s">
        <v>179</v>
      </c>
    </row>
    <row r="5" customFormat="false" ht="15" hidden="false" customHeight="false" outlineLevel="0" collapsed="false">
      <c r="B5" s="26" t="s">
        <v>132</v>
      </c>
      <c r="C5" s="10" t="s">
        <v>133</v>
      </c>
      <c r="D5" s="39" t="str">
        <f aca="false">'ANSWER KEY'!D5</f>
        <v>Batches</v>
      </c>
      <c r="E5" s="39" t="str">
        <f aca="false">'Answer Sheet'!D5</f>
        <v>Batches</v>
      </c>
      <c r="F5" s="40"/>
      <c r="G5" s="40" t="str">
        <f aca="false">IF(IFERROR(EXACT(TRIM(LOWER(D5)),TRIM(LOWER(E5))),FALSE()),"Pass","Fail")</f>
        <v>Pass</v>
      </c>
      <c r="H5" s="26" t="n">
        <f aca="false">IF(G5="Pass",10,0)</f>
        <v>10</v>
      </c>
    </row>
    <row r="6" customFormat="false" ht="15" hidden="false" customHeight="false" outlineLevel="0" collapsed="false">
      <c r="B6" s="26" t="s">
        <v>134</v>
      </c>
      <c r="C6" s="10" t="s">
        <v>135</v>
      </c>
      <c r="D6" s="41" t="n">
        <f aca="false">'ANSWER KEY'!D6</f>
        <v>0.950374134308407</v>
      </c>
      <c r="E6" s="41" t="n">
        <f aca="false">'Answer Sheet'!D6</f>
        <v>0.950374134308407</v>
      </c>
      <c r="F6" s="41" t="n">
        <f aca="false">IFERROR(E6-D6,NA())</f>
        <v>0</v>
      </c>
      <c r="G6" s="40" t="str">
        <f aca="false">IF(IFERROR(ABS(E6-D6)&lt;=0.005,FALSE()),"Pass","Fail")</f>
        <v>Pass</v>
      </c>
      <c r="H6" s="26" t="n">
        <f aca="false">IF(G6="Pass",5,0)</f>
        <v>5</v>
      </c>
    </row>
    <row r="7" customFormat="false" ht="15" hidden="false" customHeight="false" outlineLevel="0" collapsed="false">
      <c r="B7" s="26" t="s">
        <v>136</v>
      </c>
      <c r="C7" s="10" t="s">
        <v>137</v>
      </c>
      <c r="D7" s="42" t="n">
        <f aca="false">'ANSWER KEY'!D7</f>
        <v>203.289507411085</v>
      </c>
      <c r="E7" s="42" t="n">
        <f aca="false">'Answer Sheet'!D7</f>
        <v>203.289507411085</v>
      </c>
      <c r="F7" s="42" t="n">
        <f aca="false">IFERROR(E7-D7,NA())</f>
        <v>0</v>
      </c>
      <c r="G7" s="40" t="str">
        <f aca="false">IF(IFERROR(ABS(E7-D7)&lt;=2,FALSE()),"Pass","Fail")</f>
        <v>Pass</v>
      </c>
      <c r="H7" s="26" t="n">
        <f aca="false">IF(G7="Pass",8,0)</f>
        <v>8</v>
      </c>
    </row>
    <row r="8" customFormat="false" ht="15" hidden="false" customHeight="false" outlineLevel="0" collapsed="false">
      <c r="B8" s="26" t="s">
        <v>138</v>
      </c>
      <c r="C8" s="10" t="s">
        <v>139</v>
      </c>
      <c r="D8" s="43" t="n">
        <f aca="false">'ANSWER KEY'!D8</f>
        <v>19478.8589321249</v>
      </c>
      <c r="E8" s="43" t="n">
        <f aca="false">'Answer Sheet'!D8</f>
        <v>19478.8589321249</v>
      </c>
      <c r="F8" s="43" t="n">
        <f aca="false">IFERROR(E8-D8,NA())</f>
        <v>0</v>
      </c>
      <c r="G8" s="40" t="str">
        <f aca="false">IF(IFERROR(ABS(E8-D8)&lt;=300,FALSE()),"Pass","Fail")</f>
        <v>Pass</v>
      </c>
      <c r="H8" s="26" t="n">
        <f aca="false">IF(G8="Pass",8,0)</f>
        <v>8</v>
      </c>
    </row>
    <row r="9" customFormat="false" ht="15" hidden="false" customHeight="false" outlineLevel="0" collapsed="false">
      <c r="B9" s="26" t="s">
        <v>140</v>
      </c>
      <c r="C9" s="10" t="s">
        <v>141</v>
      </c>
      <c r="D9" s="41" t="n">
        <f aca="false">'ANSWER KEY'!D9</f>
        <v>0.903210995162453</v>
      </c>
      <c r="E9" s="41" t="n">
        <f aca="false">'Answer Sheet'!D9</f>
        <v>0.903210995162453</v>
      </c>
      <c r="F9" s="41" t="n">
        <f aca="false">IFERROR(E9-D9,NA())</f>
        <v>0</v>
      </c>
      <c r="G9" s="40" t="str">
        <f aca="false">IF(IFERROR(ABS(E9-D9)&lt;=0.005,FALSE()),"Pass","Fail")</f>
        <v>Pass</v>
      </c>
      <c r="H9" s="26" t="n">
        <f aca="false">IF(G9="Pass",5,0)</f>
        <v>5</v>
      </c>
    </row>
    <row r="10" customFormat="false" ht="15" hidden="false" customHeight="false" outlineLevel="0" collapsed="false">
      <c r="B10" s="26" t="s">
        <v>142</v>
      </c>
      <c r="C10" s="10" t="s">
        <v>143</v>
      </c>
      <c r="D10" s="42" t="n">
        <f aca="false">'ANSWER KEY'!D10</f>
        <v>201.013071895425</v>
      </c>
      <c r="E10" s="42" t="n">
        <f aca="false">'Answer Sheet'!D10</f>
        <v>201.013071895425</v>
      </c>
      <c r="F10" s="42" t="n">
        <f aca="false">IFERROR(E10-D10,NA())</f>
        <v>0</v>
      </c>
      <c r="G10" s="40" t="str">
        <f aca="false">IF(IFERROR(ABS(E10-D10)&lt;=2,FALSE()),"Pass","Fail")</f>
        <v>Pass</v>
      </c>
      <c r="H10" s="26" t="n">
        <f aca="false">IF(G10="Pass",5,0)</f>
        <v>5</v>
      </c>
    </row>
    <row r="11" customFormat="false" ht="15" hidden="false" customHeight="false" outlineLevel="0" collapsed="false">
      <c r="B11" s="26" t="s">
        <v>144</v>
      </c>
      <c r="C11" s="10" t="s">
        <v>145</v>
      </c>
      <c r="D11" s="43" t="n">
        <f aca="false">'ANSWER KEY'!D11</f>
        <v>22964.5424836601</v>
      </c>
      <c r="E11" s="43" t="n">
        <f aca="false">'Answer Sheet'!D11</f>
        <v>22964.5424836601</v>
      </c>
      <c r="F11" s="43" t="n">
        <f aca="false">IFERROR(E11-D11,NA())</f>
        <v>0</v>
      </c>
      <c r="G11" s="40" t="str">
        <f aca="false">IF(IFERROR(ABS(E11-D11)&lt;=300,FALSE()),"Pass","Fail")</f>
        <v>Pass</v>
      </c>
      <c r="H11" s="26" t="n">
        <f aca="false">IF(G11="Pass",5,0)</f>
        <v>5</v>
      </c>
    </row>
    <row r="12" customFormat="false" ht="15" hidden="false" customHeight="false" outlineLevel="0" collapsed="false">
      <c r="B12" s="26" t="s">
        <v>146</v>
      </c>
      <c r="C12" s="10" t="s">
        <v>147</v>
      </c>
      <c r="D12" s="43" t="n">
        <f aca="false">'ANSWER KEY'!D12</f>
        <v>34725.5719879562</v>
      </c>
      <c r="E12" s="43" t="n">
        <f aca="false">'Answer Sheet'!D12</f>
        <v>34725.5719879562</v>
      </c>
      <c r="F12" s="43" t="n">
        <f aca="false">IFERROR(E12-D12,NA())</f>
        <v>0</v>
      </c>
      <c r="G12" s="40" t="str">
        <f aca="false">IF(IFERROR(ABS(E12-D12)&lt;=300,FALSE()),"Pass","Fail")</f>
        <v>Pass</v>
      </c>
      <c r="H12" s="26" t="n">
        <f aca="false">IF(G12="Pass",5,0)</f>
        <v>5</v>
      </c>
    </row>
    <row r="13" customFormat="false" ht="15" hidden="false" customHeight="false" outlineLevel="0" collapsed="false">
      <c r="B13" s="26" t="s">
        <v>148</v>
      </c>
      <c r="C13" s="10" t="s">
        <v>149</v>
      </c>
      <c r="D13" s="43" t="n">
        <f aca="false">'ANSWER KEY'!D13</f>
        <v>55054.5227290647</v>
      </c>
      <c r="E13" s="43" t="n">
        <f aca="false">'Answer Sheet'!D13</f>
        <v>55054.5227290647</v>
      </c>
      <c r="F13" s="43" t="n">
        <f aca="false">IFERROR(E13-D13,NA())</f>
        <v>0</v>
      </c>
      <c r="G13" s="40" t="str">
        <f aca="false">IF(IFERROR(ABS(E13-D13)&lt;=300,FALSE()),"Pass","Fail")</f>
        <v>Pass</v>
      </c>
      <c r="H13" s="26" t="n">
        <f aca="false">IF(G13="Pass",5,0)</f>
        <v>5</v>
      </c>
    </row>
    <row r="14" customFormat="false" ht="15" hidden="false" customHeight="false" outlineLevel="0" collapsed="false">
      <c r="B14" s="26" t="s">
        <v>150</v>
      </c>
      <c r="C14" s="10" t="s">
        <v>151</v>
      </c>
      <c r="D14" s="43" t="n">
        <f aca="false">'ANSWER KEY'!D14</f>
        <v>70301.2357848961</v>
      </c>
      <c r="E14" s="43" t="n">
        <f aca="false">'Answer Sheet'!D14</f>
        <v>70301.2357848961</v>
      </c>
      <c r="F14" s="43" t="n">
        <f aca="false">IFERROR(E14-D14,NA())</f>
        <v>0</v>
      </c>
      <c r="G14" s="40" t="str">
        <f aca="false">IF(IFERROR(ABS(E14-D14)&lt;=300,FALSE()),"Pass","Fail")</f>
        <v>Pass</v>
      </c>
      <c r="H14" s="26" t="n">
        <f aca="false">IF(G14="Pass",5,0)</f>
        <v>5</v>
      </c>
    </row>
    <row r="15" customFormat="false" ht="15" hidden="false" customHeight="false" outlineLevel="0" collapsed="false">
      <c r="B15" s="26" t="s">
        <v>152</v>
      </c>
      <c r="C15" s="10" t="s">
        <v>153</v>
      </c>
      <c r="D15" s="43" t="n">
        <f aca="false">'ANSWER KEY'!D15</f>
        <v>23374.6307185498</v>
      </c>
      <c r="E15" s="43" t="n">
        <f aca="false">'Answer Sheet'!D15</f>
        <v>23374.6307185498</v>
      </c>
      <c r="F15" s="43" t="n">
        <f aca="false">IFERROR(E15-D15,NA())</f>
        <v>0</v>
      </c>
      <c r="G15" s="40" t="str">
        <f aca="false">IF(IFERROR(ABS(E15-D15)&lt;=300,FALSE()),"Pass","Fail")</f>
        <v>Pass</v>
      </c>
      <c r="H15" s="26" t="n">
        <f aca="false">IF(G15="Pass",5,0)</f>
        <v>5</v>
      </c>
    </row>
    <row r="16" customFormat="false" ht="15" hidden="false" customHeight="false" outlineLevel="0" collapsed="false">
      <c r="B16" s="26" t="s">
        <v>154</v>
      </c>
      <c r="C16" s="10" t="s">
        <v>155</v>
      </c>
      <c r="D16" s="42" t="n">
        <f aca="false">'ANSWER KEY'!D16</f>
        <v>182.960556669977</v>
      </c>
      <c r="E16" s="42" t="n">
        <f aca="false">'Answer Sheet'!D16</f>
        <v>182.960556669977</v>
      </c>
      <c r="F16" s="42" t="n">
        <f aca="false">IFERROR(E16-D16,NA())</f>
        <v>0</v>
      </c>
      <c r="G16" s="40" t="str">
        <f aca="false">IF(IFERROR(ABS(E16-D16)&lt;=2,FALSE()),"Pass","Fail")</f>
        <v>Pass</v>
      </c>
      <c r="H16" s="26" t="n">
        <f aca="false">IF(G16="Pass",5,0)</f>
        <v>5</v>
      </c>
    </row>
    <row r="17" customFormat="false" ht="15" hidden="false" customHeight="false" outlineLevel="0" collapsed="false">
      <c r="B17" s="26" t="s">
        <v>156</v>
      </c>
      <c r="C17" s="10" t="s">
        <v>157</v>
      </c>
      <c r="D17" s="44" t="n">
        <f aca="false">'ANSWER KEY'!D17</f>
        <v>191.63663860659</v>
      </c>
      <c r="E17" s="44" t="n">
        <f aca="false">'Answer Sheet'!D17</f>
        <v>191.63663860659</v>
      </c>
      <c r="F17" s="44" t="n">
        <f aca="false">IFERROR(E17-D17,NA())</f>
        <v>0</v>
      </c>
      <c r="G17" s="40" t="str">
        <f aca="false">IF(IFERROR(ABS(E17-D17)&lt;=2,FALSE()),"Pass","Fail")</f>
        <v>Pass</v>
      </c>
      <c r="H17" s="26" t="n">
        <f aca="false">IF(G17="Pass",14,0)</f>
        <v>14</v>
      </c>
    </row>
    <row r="18" customFormat="false" ht="15" hidden="false" customHeight="false" outlineLevel="0" collapsed="false">
      <c r="B18" s="26" t="s">
        <v>158</v>
      </c>
      <c r="C18" s="10" t="s">
        <v>159</v>
      </c>
      <c r="D18" s="43" t="n">
        <f aca="false">'ANSWER KEY'!D18</f>
        <v>58436.5767963746</v>
      </c>
      <c r="E18" s="43" t="n">
        <f aca="false">'Answer Sheet'!D18</f>
        <v>58436.5767963746</v>
      </c>
      <c r="F18" s="43" t="n">
        <f aca="false">IFERROR(E18-D18,NA())</f>
        <v>0</v>
      </c>
      <c r="G18" s="40" t="str">
        <f aca="false">IF(IFERROR(ABS(E18-D18)&lt;=300,FALSE()),"Pass","Fail")</f>
        <v>Pass</v>
      </c>
      <c r="H18" s="26" t="n">
        <f aca="false">IF(G18="Pass",8,0)</f>
        <v>8</v>
      </c>
    </row>
    <row r="19" customFormat="false" ht="15" hidden="false" customHeight="false" outlineLevel="0" collapsed="false">
      <c r="B19" s="26" t="s">
        <v>160</v>
      </c>
      <c r="C19" s="10" t="s">
        <v>161</v>
      </c>
      <c r="D19" s="39" t="str">
        <f aca="false">'ANSWER KEY'!D19</f>
        <v>Expanded</v>
      </c>
      <c r="E19" s="39" t="str">
        <f aca="false">'Answer Sheet'!D19</f>
        <v>Expanded</v>
      </c>
      <c r="F19" s="40"/>
      <c r="G19" s="40" t="str">
        <f aca="false">IF(IFERROR(EXACT(TRIM(LOWER(D19)),TRIM(LOWER(E19))),FALSE()),"Pass","Fail")</f>
        <v>Pass</v>
      </c>
      <c r="H19" s="26" t="n">
        <f aca="false">IF(G19="Pass",7,0)</f>
        <v>7</v>
      </c>
    </row>
    <row r="21" customFormat="false" ht="15" hidden="false" customHeight="false" outlineLevel="0" collapsed="false">
      <c r="C21" s="32" t="s">
        <v>180</v>
      </c>
      <c r="H21" s="45" t="n">
        <f aca="false">SUM(H5:H20)</f>
        <v>100</v>
      </c>
    </row>
    <row r="22" customFormat="false" ht="15" hidden="false" customHeight="false" outlineLevel="0" collapsed="false">
      <c r="C22" s="32" t="s">
        <v>181</v>
      </c>
      <c r="H22" s="46" t="n">
        <f aca="false">H21/100</f>
        <v>1</v>
      </c>
    </row>
  </sheetData>
  <mergeCells count="2">
    <mergeCell ref="A1:G1"/>
    <mergeCell ref="A2:G2"/>
  </mergeCells>
  <conditionalFormatting sqref="G5:G19">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2026-05-08T18:03:38Z</dcterms:created>
  <dc:creator>openpyxl</dc:creator>
  <dc:description/>
  <dc:language>en-US</dc:language>
  <cp:lastModifiedBy/>
  <dcterms:modified xsi:type="dcterms:W3CDTF">2026-05-08T18:03:38Z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